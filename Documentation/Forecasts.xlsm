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xr:revisionPtr revIDLastSave="0" documentId="8_{AA5377AE-CD12-4041-8563-A546D248C2F5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Monthly" sheetId="1" r:id="rId1"/>
    <sheet name="Yearly Income Statement" sheetId="2" r:id="rId2"/>
    <sheet name="Salaries" sheetId="3" r:id="rId3"/>
    <sheet name="Yearly Expenses" sheetId="5" r:id="rId4"/>
    <sheet name="Monthly Expenses" sheetId="4" r:id="rId5"/>
  </sheets>
  <functionGroups builtInGroupCount="19"/>
  <definedNames>
    <definedName name="AVERAGE_ENGAGEMENT">Monthly!$B$8</definedName>
    <definedName name="AVERAGE_ENGAGEMENT_HOURS">Monthly!$B$9</definedName>
    <definedName name="AVERAGE_REVENUE_BASE">Monthly!$B$44</definedName>
    <definedName name="AVERAGE_WEEKLY_RATE">Monthly!$B$41</definedName>
    <definedName name="BENEFITS">Salaries!$B$14</definedName>
    <definedName name="BILLABLE_RATE">Monthly!$B$2</definedName>
    <definedName name="CALL_CAPACITY">Salaries!$B$17</definedName>
    <definedName name="CALL_HOURS">Monthly!$B$11</definedName>
    <definedName name="CALLS_PER_WEEK_REP">Monthly!$B$23</definedName>
    <definedName name="CALLS_TO_CLOSE_RATIO">Monthly!$B$10</definedName>
    <definedName name="COMMISSION">Salaries!$B$16</definedName>
    <definedName name="COMPANY_RATE_MULTIPLIER">Monthly!$B$28</definedName>
    <definedName name="CUSTOMER_COUNT_PER_YEAR">Monthly!$B$42</definedName>
    <definedName name="EMPLOYEE_COUNT_OFFSET">Salaries!$B$49</definedName>
    <definedName name="ENGAGEMENT_BILLABLE_HOURS">Monthly!$B$46</definedName>
    <definedName name="GROWTH_RATE" localSheetId="3">'Yearly Expenses'!#REF!</definedName>
    <definedName name="GROWTH_RATE">'Yearly Income Statement'!$D$2</definedName>
    <definedName name="LEFTMOST_CELL">Monthly!$G$1</definedName>
    <definedName name="MATURITY_CURVE" localSheetId="3">'Yearly Expenses'!#REF!</definedName>
    <definedName name="MATURITY_CURVE">'Yearly Income Statement'!$D$3</definedName>
    <definedName name="MONTHLY_FEE">Monthly!$B$3</definedName>
    <definedName name="ONGOING_PER_CUSTOMER" localSheetId="3">'Yearly Expenses'!#REF!</definedName>
    <definedName name="ONGOING_PER_CUSTOMER">'Yearly Income Statement'!$D$4</definedName>
    <definedName name="PAYROLL_TAX">Salaries!$B$13</definedName>
    <definedName name="RANDOMIZE_LOWER">Monthly!$B$34</definedName>
    <definedName name="RANDOMIZE_UPPER">Monthly!$B$35</definedName>
    <definedName name="RETENTION_RATE">'Yearly Income Statement'!$D$5</definedName>
    <definedName name="REVENUE_PER_CUSTOMER" localSheetId="3">'Yearly Expenses'!#REF!</definedName>
    <definedName name="REVENUE_PER_CUSTOMER">'Yearly Income Statement'!#REF!</definedName>
    <definedName name="RIGHTMOST_CELL">Monthly!$BB$1</definedName>
    <definedName name="SALARY_OFFSET_CELL">Salaries!$B$51</definedName>
    <definedName name="SALES_BASE_SALARY">Salaries!$B$2</definedName>
    <definedName name="SALES_HOURS_PER_ENGAGEMENT">Monthly!$B$49</definedName>
    <definedName name="SALES_REP_COUNT">Monthly!$B$22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4" l="1"/>
  <c r="H2" i="5" s="1"/>
  <c r="L8" i="2" s="1"/>
  <c r="AB13" i="5"/>
  <c r="Z13" i="5"/>
  <c r="X13" i="5"/>
  <c r="W13" i="5"/>
  <c r="V13" i="5"/>
  <c r="U13" i="5"/>
  <c r="C13" i="5"/>
  <c r="T13" i="5" s="1"/>
  <c r="A13" i="5"/>
  <c r="AB12" i="5"/>
  <c r="Z12" i="5"/>
  <c r="X12" i="5"/>
  <c r="W12" i="5"/>
  <c r="V12" i="5"/>
  <c r="U12" i="5"/>
  <c r="C12" i="5"/>
  <c r="T12" i="5" s="1"/>
  <c r="A12" i="5"/>
  <c r="AB11" i="5"/>
  <c r="Z11" i="5"/>
  <c r="X11" i="5"/>
  <c r="W11" i="5"/>
  <c r="V11" i="5"/>
  <c r="U11" i="5"/>
  <c r="C11" i="5"/>
  <c r="T11" i="5" s="1"/>
  <c r="A11" i="5"/>
  <c r="AB10" i="5"/>
  <c r="Z10" i="5"/>
  <c r="X10" i="5"/>
  <c r="W10" i="5"/>
  <c r="V10" i="5"/>
  <c r="U10" i="5"/>
  <c r="C10" i="5"/>
  <c r="T10" i="5" s="1"/>
  <c r="A10" i="5"/>
  <c r="AB9" i="5"/>
  <c r="Z9" i="5"/>
  <c r="X9" i="5"/>
  <c r="W9" i="5"/>
  <c r="V9" i="5"/>
  <c r="U9" i="5"/>
  <c r="C9" i="5"/>
  <c r="T9" i="5" s="1"/>
  <c r="A9" i="5"/>
  <c r="AB8" i="5"/>
  <c r="Z8" i="5"/>
  <c r="X8" i="5"/>
  <c r="W8" i="5"/>
  <c r="V8" i="5"/>
  <c r="U8" i="5"/>
  <c r="C8" i="5"/>
  <c r="T8" i="5" s="1"/>
  <c r="A8" i="5"/>
  <c r="AB7" i="5"/>
  <c r="Z7" i="5"/>
  <c r="X7" i="5"/>
  <c r="W7" i="5"/>
  <c r="V7" i="5"/>
  <c r="U7" i="5"/>
  <c r="C7" i="5"/>
  <c r="T7" i="5" s="1"/>
  <c r="A7" i="5"/>
  <c r="AA6" i="5"/>
  <c r="T6" i="5"/>
  <c r="C6" i="5"/>
  <c r="A6" i="5"/>
  <c r="V5" i="5"/>
  <c r="V6" i="5" s="1"/>
  <c r="C5" i="5"/>
  <c r="AA5" i="5" s="1"/>
  <c r="A5" i="5"/>
  <c r="V4" i="5"/>
  <c r="T4" i="5"/>
  <c r="C4" i="5"/>
  <c r="AA4" i="5" s="1"/>
  <c r="A4" i="5"/>
  <c r="V3" i="5"/>
  <c r="C3" i="5"/>
  <c r="A3" i="5"/>
  <c r="C2" i="5"/>
  <c r="B2" i="5"/>
  <c r="A2" i="5"/>
  <c r="B59" i="3"/>
  <c r="F57" i="3"/>
  <c r="E57" i="3"/>
  <c r="D57" i="3"/>
  <c r="C57" i="3"/>
  <c r="F56" i="3"/>
  <c r="E56" i="3"/>
  <c r="D56" i="3"/>
  <c r="C56" i="3"/>
  <c r="F55" i="3"/>
  <c r="E55" i="3"/>
  <c r="D55" i="3"/>
  <c r="C55" i="3"/>
  <c r="E48" i="3"/>
  <c r="E49" i="3" s="1"/>
  <c r="D48" i="3"/>
  <c r="D49" i="3" s="1"/>
  <c r="C48" i="3"/>
  <c r="C49" i="3" s="1"/>
  <c r="E45" i="3"/>
  <c r="D45" i="3"/>
  <c r="C45" i="3"/>
  <c r="J44" i="3"/>
  <c r="I44" i="3"/>
  <c r="H44" i="3"/>
  <c r="G44" i="3"/>
  <c r="F44" i="3"/>
  <c r="E44" i="3"/>
  <c r="D44" i="3"/>
  <c r="C44" i="3"/>
  <c r="J43" i="3"/>
  <c r="I43" i="3"/>
  <c r="H43" i="3"/>
  <c r="G43" i="3"/>
  <c r="F43" i="3"/>
  <c r="E43" i="3"/>
  <c r="D43" i="3"/>
  <c r="C43" i="3"/>
  <c r="J42" i="3"/>
  <c r="I42" i="3"/>
  <c r="H42" i="3"/>
  <c r="G42" i="3"/>
  <c r="F42" i="3"/>
  <c r="E42" i="3"/>
  <c r="D42" i="3"/>
  <c r="C42" i="3"/>
  <c r="J41" i="3"/>
  <c r="I41" i="3"/>
  <c r="H41" i="3"/>
  <c r="G41" i="3"/>
  <c r="F41" i="3"/>
  <c r="E41" i="3"/>
  <c r="D41" i="3"/>
  <c r="C41" i="3"/>
  <c r="J40" i="3"/>
  <c r="I40" i="3"/>
  <c r="H40" i="3"/>
  <c r="G40" i="3"/>
  <c r="F40" i="3"/>
  <c r="E40" i="3"/>
  <c r="D40" i="3"/>
  <c r="C40" i="3"/>
  <c r="J39" i="3"/>
  <c r="I39" i="3"/>
  <c r="H39" i="3"/>
  <c r="G39" i="3"/>
  <c r="F39" i="3"/>
  <c r="E39" i="3"/>
  <c r="D39" i="3"/>
  <c r="C39" i="3"/>
  <c r="J38" i="3"/>
  <c r="I38" i="3"/>
  <c r="H38" i="3"/>
  <c r="G38" i="3"/>
  <c r="F38" i="3"/>
  <c r="E38" i="3"/>
  <c r="D38" i="3"/>
  <c r="C38" i="3"/>
  <c r="F36" i="3"/>
  <c r="E36" i="3"/>
  <c r="D36" i="3"/>
  <c r="C36" i="3"/>
  <c r="E34" i="3"/>
  <c r="E46" i="3" s="1"/>
  <c r="D34" i="3"/>
  <c r="D46" i="3" s="1"/>
  <c r="C34" i="3"/>
  <c r="C46" i="3" s="1"/>
  <c r="I33" i="3"/>
  <c r="I48" i="3" s="1"/>
  <c r="H33" i="3"/>
  <c r="H48" i="3" s="1"/>
  <c r="G33" i="3"/>
  <c r="G48" i="3" s="1"/>
  <c r="F33" i="3"/>
  <c r="F45" i="3" s="1"/>
  <c r="J22" i="3"/>
  <c r="J33" i="3" s="1"/>
  <c r="F20" i="3"/>
  <c r="G20" i="3" s="1"/>
  <c r="C11" i="3"/>
  <c r="C10" i="3"/>
  <c r="C9" i="3"/>
  <c r="C8" i="3"/>
  <c r="C7" i="3"/>
  <c r="C6" i="3"/>
  <c r="C5" i="3"/>
  <c r="C4" i="3"/>
  <c r="C3" i="3"/>
  <c r="C2" i="3"/>
  <c r="B14" i="1" s="1"/>
  <c r="B19" i="1" s="1"/>
  <c r="B10" i="2"/>
  <c r="B4" i="5" s="1"/>
  <c r="B9" i="2"/>
  <c r="B3" i="5" s="1"/>
  <c r="D8" i="2"/>
  <c r="B49" i="1"/>
  <c r="B41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BB31" i="1"/>
  <c r="BA31" i="1"/>
  <c r="AZ31" i="1"/>
  <c r="AY31" i="1"/>
  <c r="AX31" i="1"/>
  <c r="AW31" i="1"/>
  <c r="AV31" i="1"/>
  <c r="AU31" i="1"/>
  <c r="AU32" i="1" s="1"/>
  <c r="AT31" i="1"/>
  <c r="AS31" i="1"/>
  <c r="AS32" i="1" s="1"/>
  <c r="AR31" i="1"/>
  <c r="AQ31" i="1"/>
  <c r="AP31" i="1"/>
  <c r="AO31" i="1"/>
  <c r="AN31" i="1"/>
  <c r="AM31" i="1"/>
  <c r="AM32" i="1" s="1"/>
  <c r="AL31" i="1"/>
  <c r="AK31" i="1"/>
  <c r="AJ31" i="1"/>
  <c r="AI31" i="1"/>
  <c r="AH31" i="1"/>
  <c r="AG31" i="1"/>
  <c r="AG32" i="1" s="1"/>
  <c r="AF31" i="1"/>
  <c r="AE31" i="1"/>
  <c r="AD31" i="1"/>
  <c r="AC31" i="1"/>
  <c r="AC32" i="1" s="1"/>
  <c r="AB31" i="1"/>
  <c r="AA31" i="1"/>
  <c r="Z31" i="1"/>
  <c r="Y31" i="1"/>
  <c r="X31" i="1"/>
  <c r="X32" i="1" s="1"/>
  <c r="W31" i="1"/>
  <c r="W32" i="1" s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I32" i="1" s="1"/>
  <c r="H31" i="1"/>
  <c r="H32" i="1" s="1"/>
  <c r="G31" i="1"/>
  <c r="B28" i="1"/>
  <c r="AM30" i="1" s="1"/>
  <c r="AM23" i="1" s="1"/>
  <c r="B25" i="1"/>
  <c r="B46" i="1" s="1"/>
  <c r="B47" i="1" s="1"/>
  <c r="B16" i="1"/>
  <c r="B17" i="1" s="1"/>
  <c r="B9" i="1"/>
  <c r="D21" i="3" s="1"/>
  <c r="H6" i="1"/>
  <c r="I6" i="1" s="1"/>
  <c r="J6" i="1" s="1"/>
  <c r="K6" i="1" s="1"/>
  <c r="L6" i="1" s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G28" i="1" l="1"/>
  <c r="AE28" i="1"/>
  <c r="K30" i="1"/>
  <c r="K23" i="1" s="1"/>
  <c r="AQ30" i="1"/>
  <c r="AQ23" i="1" s="1"/>
  <c r="D61" i="3"/>
  <c r="O30" i="1"/>
  <c r="O23" i="1" s="1"/>
  <c r="W30" i="1"/>
  <c r="W23" i="1" s="1"/>
  <c r="AA30" i="1"/>
  <c r="AA23" i="1" s="1"/>
  <c r="AE30" i="1"/>
  <c r="AE23" i="1" s="1"/>
  <c r="S28" i="1"/>
  <c r="AU30" i="1"/>
  <c r="AU23" i="1" s="1"/>
  <c r="G32" i="1"/>
  <c r="O32" i="1"/>
  <c r="AE32" i="1"/>
  <c r="T32" i="1"/>
  <c r="AJ32" i="1"/>
  <c r="M32" i="1"/>
  <c r="U32" i="1"/>
  <c r="AK32" i="1"/>
  <c r="BA32" i="1"/>
  <c r="S30" i="1"/>
  <c r="S23" i="1" s="1"/>
  <c r="AY30" i="1"/>
  <c r="AY23" i="1" s="1"/>
  <c r="N32" i="1"/>
  <c r="V32" i="1"/>
  <c r="AD32" i="1"/>
  <c r="AL32" i="1"/>
  <c r="AT32" i="1"/>
  <c r="BB32" i="1"/>
  <c r="H34" i="3"/>
  <c r="H46" i="3" s="1"/>
  <c r="I50" i="3"/>
  <c r="I51" i="3" s="1"/>
  <c r="AA3" i="5"/>
  <c r="T3" i="5"/>
  <c r="AN32" i="1"/>
  <c r="C50" i="3"/>
  <c r="C51" i="3" s="1"/>
  <c r="F48" i="3"/>
  <c r="AA8" i="5"/>
  <c r="P32" i="1"/>
  <c r="Q32" i="1"/>
  <c r="AO32" i="1"/>
  <c r="H20" i="3"/>
  <c r="G21" i="3"/>
  <c r="G61" i="3" s="1"/>
  <c r="G57" i="3"/>
  <c r="G56" i="3"/>
  <c r="G55" i="3"/>
  <c r="G36" i="3"/>
  <c r="D50" i="3"/>
  <c r="D51" i="3" s="1"/>
  <c r="AA12" i="5"/>
  <c r="I34" i="3"/>
  <c r="I46" i="3" s="1"/>
  <c r="AV32" i="1"/>
  <c r="Y32" i="1"/>
  <c r="B15" i="1"/>
  <c r="B18" i="1" s="1"/>
  <c r="B20" i="1" s="1"/>
  <c r="AQ28" i="1"/>
  <c r="AI30" i="1"/>
  <c r="AI23" i="1" s="1"/>
  <c r="J32" i="1"/>
  <c r="R32" i="1"/>
  <c r="Z32" i="1"/>
  <c r="AH32" i="1"/>
  <c r="AP32" i="1"/>
  <c r="AX32" i="1"/>
  <c r="E50" i="3"/>
  <c r="E51" i="3" s="1"/>
  <c r="E21" i="3"/>
  <c r="E61" i="3" s="1"/>
  <c r="C21" i="3"/>
  <c r="C61" i="3" s="1"/>
  <c r="AF32" i="1"/>
  <c r="AW32" i="1"/>
  <c r="G30" i="1"/>
  <c r="G23" i="1" s="1"/>
  <c r="K32" i="1"/>
  <c r="S32" i="1"/>
  <c r="AA32" i="1"/>
  <c r="AI32" i="1"/>
  <c r="AQ32" i="1"/>
  <c r="AY32" i="1"/>
  <c r="J48" i="3"/>
  <c r="J45" i="3"/>
  <c r="L32" i="1"/>
  <c r="AR32" i="1"/>
  <c r="AA10" i="5"/>
  <c r="AB32" i="1"/>
  <c r="AZ32" i="1"/>
  <c r="G34" i="3"/>
  <c r="G46" i="3" s="1"/>
  <c r="T5" i="5"/>
  <c r="G45" i="3"/>
  <c r="G50" i="3" s="1"/>
  <c r="G51" i="3" s="1"/>
  <c r="F21" i="3"/>
  <c r="F61" i="3" s="1"/>
  <c r="H45" i="3"/>
  <c r="H50" i="3" s="1"/>
  <c r="H51" i="3" s="1"/>
  <c r="I45" i="3"/>
  <c r="AA7" i="5"/>
  <c r="AA9" i="5"/>
  <c r="AA11" i="5"/>
  <c r="AA13" i="5"/>
  <c r="B11" i="2"/>
  <c r="W33" i="1"/>
  <c r="M37" i="1"/>
  <c r="H37" i="1"/>
  <c r="I37" i="1"/>
  <c r="AP37" i="1"/>
  <c r="AC37" i="1"/>
  <c r="H33" i="1"/>
  <c r="P33" i="1"/>
  <c r="M33" i="1"/>
  <c r="AE33" i="1"/>
  <c r="AV33" i="1"/>
  <c r="N37" i="1"/>
  <c r="L33" i="1"/>
  <c r="I33" i="1"/>
  <c r="AM33" i="1"/>
  <c r="V37" i="1"/>
  <c r="AK37" i="1"/>
  <c r="J33" i="1"/>
  <c r="AG37" i="1"/>
  <c r="K37" i="1"/>
  <c r="T37" i="1"/>
  <c r="AM37" i="1"/>
  <c r="AU37" i="1"/>
  <c r="AD37" i="1"/>
  <c r="AS37" i="1"/>
  <c r="X33" i="1"/>
  <c r="AW37" i="1"/>
  <c r="S37" i="1"/>
  <c r="AA33" i="1"/>
  <c r="AS33" i="1"/>
  <c r="AP33" i="1"/>
  <c r="AU33" i="1"/>
  <c r="AL37" i="1"/>
  <c r="AA37" i="1"/>
  <c r="T33" i="1"/>
  <c r="BA37" i="1"/>
  <c r="O33" i="1"/>
  <c r="AT37" i="1"/>
  <c r="AH33" i="1"/>
  <c r="AB33" i="1"/>
  <c r="O37" i="1"/>
  <c r="P37" i="1"/>
  <c r="AR33" i="1"/>
  <c r="BA33" i="1"/>
  <c r="V33" i="1"/>
  <c r="AC33" i="1"/>
  <c r="AO33" i="1"/>
  <c r="AI37" i="1"/>
  <c r="AD33" i="1"/>
  <c r="AQ37" i="1"/>
  <c r="W37" i="1"/>
  <c r="X37" i="1"/>
  <c r="AG33" i="1"/>
  <c r="AY37" i="1"/>
  <c r="AV37" i="1"/>
  <c r="Y37" i="1"/>
  <c r="AO37" i="1"/>
  <c r="AI33" i="1"/>
  <c r="AB37" i="1"/>
  <c r="Q37" i="1"/>
  <c r="AZ37" i="1"/>
  <c r="AH37" i="1"/>
  <c r="AL33" i="1"/>
  <c r="Y33" i="1"/>
  <c r="G33" i="1"/>
  <c r="AE37" i="1"/>
  <c r="J37" i="1"/>
  <c r="AW33" i="1"/>
  <c r="L37" i="1"/>
  <c r="N33" i="1"/>
  <c r="R33" i="1"/>
  <c r="AF37" i="1"/>
  <c r="AN37" i="1"/>
  <c r="U37" i="1"/>
  <c r="K33" i="1"/>
  <c r="BB37" i="1"/>
  <c r="AJ37" i="1"/>
  <c r="Z37" i="1"/>
  <c r="AK33" i="1"/>
  <c r="AX37" i="1"/>
  <c r="S33" i="1"/>
  <c r="AR37" i="1"/>
  <c r="AR24" i="1" l="1"/>
  <c r="AX24" i="1"/>
  <c r="Z24" i="1"/>
  <c r="AJ24" i="1"/>
  <c r="BB24" i="1"/>
  <c r="U24" i="1"/>
  <c r="AN24" i="1"/>
  <c r="AF24" i="1"/>
  <c r="L24" i="1"/>
  <c r="J24" i="1"/>
  <c r="AE24" i="1"/>
  <c r="AH24" i="1"/>
  <c r="AZ24" i="1"/>
  <c r="Q24" i="1"/>
  <c r="AB24" i="1"/>
  <c r="AO24" i="1"/>
  <c r="Y24" i="1"/>
  <c r="AV24" i="1"/>
  <c r="AY24" i="1"/>
  <c r="X24" i="1"/>
  <c r="W24" i="1"/>
  <c r="AQ24" i="1"/>
  <c r="AI24" i="1"/>
  <c r="P24" i="1"/>
  <c r="O24" i="1"/>
  <c r="AT24" i="1"/>
  <c r="BA24" i="1"/>
  <c r="AA24" i="1"/>
  <c r="AL24" i="1"/>
  <c r="S24" i="1"/>
  <c r="AW24" i="1"/>
  <c r="AS24" i="1"/>
  <c r="AD24" i="1"/>
  <c r="AU24" i="1"/>
  <c r="AM24" i="1"/>
  <c r="T24" i="1"/>
  <c r="K24" i="1"/>
  <c r="AG24" i="1"/>
  <c r="AK24" i="1"/>
  <c r="V24" i="1"/>
  <c r="N24" i="1"/>
  <c r="AC24" i="1"/>
  <c r="AP24" i="1"/>
  <c r="I24" i="1"/>
  <c r="H24" i="1"/>
  <c r="M24" i="1"/>
  <c r="J50" i="3"/>
  <c r="J51" i="3" s="1"/>
  <c r="B5" i="5"/>
  <c r="B12" i="2"/>
  <c r="H49" i="3"/>
  <c r="F34" i="3"/>
  <c r="F46" i="3" s="1"/>
  <c r="F50" i="3" s="1"/>
  <c r="F51" i="3" s="1"/>
  <c r="F49" i="3"/>
  <c r="G49" i="3"/>
  <c r="I49" i="3"/>
  <c r="I20" i="3"/>
  <c r="H21" i="3"/>
  <c r="H61" i="3" s="1"/>
  <c r="H57" i="3"/>
  <c r="H56" i="3"/>
  <c r="H55" i="3"/>
  <c r="H36" i="3"/>
  <c r="J34" i="3"/>
  <c r="J46" i="3" s="1"/>
  <c r="AN33" i="1"/>
  <c r="AT33" i="1"/>
  <c r="AZ33" i="1"/>
  <c r="AX33" i="1"/>
  <c r="BB33" i="1"/>
  <c r="U33" i="1"/>
  <c r="AQ33" i="1"/>
  <c r="AJ33" i="1"/>
  <c r="G37" i="1"/>
  <c r="R37" i="1"/>
  <c r="AF33" i="1"/>
  <c r="Z33" i="1"/>
  <c r="AY33" i="1"/>
  <c r="Q33" i="1"/>
  <c r="Z38" i="1" l="1"/>
  <c r="Z40" i="1" s="1"/>
  <c r="X38" i="1"/>
  <c r="X40" i="1" s="1"/>
  <c r="AH38" i="1"/>
  <c r="AH40" i="1" s="1"/>
  <c r="BB38" i="1"/>
  <c r="BB40" i="1" s="1"/>
  <c r="AU38" i="1"/>
  <c r="AU40" i="1" s="1"/>
  <c r="R24" i="1"/>
  <c r="W38" i="1" s="1"/>
  <c r="W40" i="1" s="1"/>
  <c r="G24" i="1"/>
  <c r="J20" i="3"/>
  <c r="I21" i="3"/>
  <c r="I61" i="3" s="1"/>
  <c r="I57" i="3"/>
  <c r="I56" i="3"/>
  <c r="I55" i="3"/>
  <c r="I36" i="3"/>
  <c r="BA38" i="1"/>
  <c r="BA40" i="1" s="1"/>
  <c r="J49" i="3"/>
  <c r="B6" i="5"/>
  <c r="B13" i="2"/>
  <c r="AI38" i="1"/>
  <c r="AI40" i="1" s="1"/>
  <c r="Q38" i="1"/>
  <c r="Q40" i="1" s="1"/>
  <c r="AW38" i="1"/>
  <c r="AW40" i="1" s="1"/>
  <c r="AA38" i="1"/>
  <c r="AA40" i="1" s="1"/>
  <c r="AX38" i="1"/>
  <c r="AX40" i="1" s="1"/>
  <c r="U38" i="1"/>
  <c r="U40" i="1" s="1"/>
  <c r="AT38" i="1"/>
  <c r="AT40" i="1" s="1"/>
  <c r="AK38" i="1"/>
  <c r="AK40" i="1" s="1"/>
  <c r="AN38" i="1"/>
  <c r="AN40" i="1" s="1"/>
  <c r="AG38" i="1"/>
  <c r="AG40" i="1" s="1"/>
  <c r="AS38" i="1"/>
  <c r="AS40" i="1" s="1"/>
  <c r="AL38" i="1"/>
  <c r="AL40" i="1" s="1"/>
  <c r="AQ38" i="1"/>
  <c r="AQ40" i="1" s="1"/>
  <c r="AP38" i="1"/>
  <c r="AP40" i="1" s="1"/>
  <c r="AV38" i="1"/>
  <c r="AV40" i="1" s="1"/>
  <c r="M38" i="1"/>
  <c r="M40" i="1" s="1"/>
  <c r="P38" i="1"/>
  <c r="P40" i="1" s="1"/>
  <c r="AB38" i="1"/>
  <c r="AB40" i="1" s="1"/>
  <c r="N38" i="1"/>
  <c r="N40" i="1" s="1"/>
  <c r="Y38" i="1"/>
  <c r="Y40" i="1" s="1"/>
  <c r="AF38" i="1"/>
  <c r="AF40" i="1" s="1"/>
  <c r="AC38" i="1"/>
  <c r="AC40" i="1" s="1"/>
  <c r="AM38" i="1"/>
  <c r="AM40" i="1" s="1"/>
  <c r="AO38" i="1"/>
  <c r="AO40" i="1" s="1"/>
  <c r="AR38" i="1"/>
  <c r="AR40" i="1" s="1"/>
  <c r="AJ38" i="1"/>
  <c r="AJ40" i="1" s="1"/>
  <c r="AE38" i="1"/>
  <c r="AE40" i="1" s="1"/>
  <c r="AY38" i="1"/>
  <c r="AY40" i="1" s="1"/>
  <c r="O38" i="1"/>
  <c r="O40" i="1" s="1"/>
  <c r="AZ38" i="1"/>
  <c r="AZ40" i="1" s="1"/>
  <c r="AD38" i="1"/>
  <c r="AD40" i="1" s="1"/>
  <c r="V38" i="1" l="1"/>
  <c r="V40" i="1" s="1"/>
  <c r="R38" i="1"/>
  <c r="R40" i="1" s="1"/>
  <c r="S38" i="1"/>
  <c r="S40" i="1" s="1"/>
  <c r="J21" i="3"/>
  <c r="J61" i="3" s="1"/>
  <c r="J57" i="3"/>
  <c r="J56" i="3"/>
  <c r="J55" i="3"/>
  <c r="J36" i="3"/>
  <c r="AV39" i="1"/>
  <c r="AN39" i="1"/>
  <c r="AN41" i="1" s="1"/>
  <c r="AF39" i="1"/>
  <c r="AF41" i="1" s="1"/>
  <c r="X39" i="1"/>
  <c r="X41" i="1" s="1"/>
  <c r="P39" i="1"/>
  <c r="H39" i="1"/>
  <c r="AU39" i="1"/>
  <c r="AU41" i="1" s="1"/>
  <c r="AM39" i="1"/>
  <c r="AE39" i="1"/>
  <c r="AE41" i="1" s="1"/>
  <c r="W39" i="1"/>
  <c r="W41" i="1" s="1"/>
  <c r="O39" i="1"/>
  <c r="O41" i="1" s="1"/>
  <c r="G39" i="1"/>
  <c r="BB39" i="1"/>
  <c r="BB41" i="1" s="1"/>
  <c r="AT39" i="1"/>
  <c r="AT41" i="1" s="1"/>
  <c r="AL39" i="1"/>
  <c r="AL41" i="1" s="1"/>
  <c r="AD39" i="1"/>
  <c r="AD41" i="1" s="1"/>
  <c r="V39" i="1"/>
  <c r="N39" i="1"/>
  <c r="N41" i="1" s="1"/>
  <c r="BA39" i="1"/>
  <c r="BA41" i="1" s="1"/>
  <c r="AS39" i="1"/>
  <c r="AK39" i="1"/>
  <c r="AK41" i="1" s="1"/>
  <c r="AC39" i="1"/>
  <c r="AC41" i="1" s="1"/>
  <c r="U39" i="1"/>
  <c r="U41" i="1" s="1"/>
  <c r="M39" i="1"/>
  <c r="AZ39" i="1"/>
  <c r="AZ41" i="1" s="1"/>
  <c r="AR39" i="1"/>
  <c r="AR41" i="1" s="1"/>
  <c r="AJ39" i="1"/>
  <c r="AJ41" i="1" s="1"/>
  <c r="AB39" i="1"/>
  <c r="T39" i="1"/>
  <c r="L39" i="1"/>
  <c r="AW39" i="1"/>
  <c r="AW41" i="1" s="1"/>
  <c r="AO39" i="1"/>
  <c r="AO41" i="1" s="1"/>
  <c r="AG39" i="1"/>
  <c r="AG41" i="1" s="1"/>
  <c r="Y39" i="1"/>
  <c r="Y41" i="1" s="1"/>
  <c r="Q39" i="1"/>
  <c r="Q41" i="1" s="1"/>
  <c r="I39" i="1"/>
  <c r="I38" i="1"/>
  <c r="I40" i="1" s="1"/>
  <c r="Z39" i="1"/>
  <c r="Z41" i="1" s="1"/>
  <c r="AH39" i="1"/>
  <c r="AH41" i="1" s="1"/>
  <c r="AY39" i="1"/>
  <c r="AY41" i="1" s="1"/>
  <c r="S39" i="1"/>
  <c r="AX39" i="1"/>
  <c r="AX41" i="1" s="1"/>
  <c r="R39" i="1"/>
  <c r="R41" i="1" s="1"/>
  <c r="L38" i="1"/>
  <c r="L40" i="1" s="1"/>
  <c r="AQ39" i="1"/>
  <c r="AQ41" i="1" s="1"/>
  <c r="K39" i="1"/>
  <c r="K38" i="1"/>
  <c r="K40" i="1" s="1"/>
  <c r="AP39" i="1"/>
  <c r="AP41" i="1" s="1"/>
  <c r="J39" i="1"/>
  <c r="J38" i="1"/>
  <c r="J40" i="1" s="1"/>
  <c r="J41" i="1" s="1"/>
  <c r="G38" i="1"/>
  <c r="AI39" i="1"/>
  <c r="AI41" i="1" s="1"/>
  <c r="H38" i="1"/>
  <c r="H40" i="1" s="1"/>
  <c r="AA39" i="1"/>
  <c r="AA41" i="1" s="1"/>
  <c r="B26" i="1"/>
  <c r="T38" i="1"/>
  <c r="T40" i="1" s="1"/>
  <c r="AS41" i="1"/>
  <c r="AB41" i="1"/>
  <c r="P41" i="1"/>
  <c r="B14" i="2"/>
  <c r="B7" i="5"/>
  <c r="M41" i="1"/>
  <c r="AM41" i="1"/>
  <c r="V41" i="1"/>
  <c r="AV41" i="1"/>
  <c r="B42" i="1"/>
  <c r="S41" i="1" l="1"/>
  <c r="K41" i="1"/>
  <c r="I41" i="1"/>
  <c r="W7" i="1"/>
  <c r="AA7" i="1"/>
  <c r="O7" i="1"/>
  <c r="AQ7" i="1"/>
  <c r="H41" i="1"/>
  <c r="L41" i="1"/>
  <c r="B15" i="2"/>
  <c r="B8" i="5"/>
  <c r="G40" i="1"/>
  <c r="B36" i="1"/>
  <c r="AE7" i="1"/>
  <c r="T41" i="1"/>
  <c r="S7" i="1" s="1"/>
  <c r="AY7" i="1"/>
  <c r="AU7" i="1"/>
  <c r="AI7" i="1"/>
  <c r="AM7" i="1"/>
  <c r="B45" i="1"/>
  <c r="K7" i="1" l="1"/>
  <c r="E8" i="2"/>
  <c r="I8" i="2" s="1"/>
  <c r="G2" i="5" s="1"/>
  <c r="B40" i="1"/>
  <c r="G41" i="1"/>
  <c r="G7" i="1" s="1"/>
  <c r="E7" i="1" s="1"/>
  <c r="B16" i="2"/>
  <c r="B9" i="5"/>
  <c r="B43" i="1"/>
  <c r="B44" i="1"/>
  <c r="F8" i="2" l="1"/>
  <c r="K8" i="2" s="1"/>
  <c r="M8" i="2" s="1"/>
  <c r="N8" i="2" s="1"/>
  <c r="E9" i="2"/>
  <c r="E10" i="2" s="1"/>
  <c r="D2" i="5"/>
  <c r="B10" i="5"/>
  <c r="B17" i="2"/>
  <c r="E2" i="5"/>
  <c r="D4" i="2" l="1"/>
  <c r="F9" i="2" s="1"/>
  <c r="I9" i="2"/>
  <c r="G3" i="5" s="1"/>
  <c r="K3" i="5" s="1"/>
  <c r="F2" i="5"/>
  <c r="D3" i="5"/>
  <c r="N3" i="5" s="1"/>
  <c r="I3" i="5"/>
  <c r="E11" i="2"/>
  <c r="D4" i="5"/>
  <c r="N4" i="5" s="1"/>
  <c r="I10" i="2"/>
  <c r="G4" i="5" s="1"/>
  <c r="B11" i="5"/>
  <c r="B18" i="2"/>
  <c r="F10" i="2" l="1"/>
  <c r="F11" i="2" s="1"/>
  <c r="H9" i="2"/>
  <c r="K9" i="2" s="1"/>
  <c r="F3" i="5" s="1"/>
  <c r="G9" i="2"/>
  <c r="E3" i="5"/>
  <c r="O3" i="5" s="1"/>
  <c r="L3" i="5"/>
  <c r="J3" i="5"/>
  <c r="B19" i="2"/>
  <c r="B13" i="5" s="1"/>
  <c r="B12" i="5"/>
  <c r="I4" i="5"/>
  <c r="K4" i="5"/>
  <c r="I11" i="2"/>
  <c r="G5" i="5" s="1"/>
  <c r="E12" i="2"/>
  <c r="D5" i="5"/>
  <c r="N5" i="5" s="1"/>
  <c r="E4" i="5"/>
  <c r="O4" i="5" s="1"/>
  <c r="H10" i="2"/>
  <c r="G10" i="2" l="1"/>
  <c r="K10" i="2" s="1"/>
  <c r="F4" i="5" s="1"/>
  <c r="D6" i="5"/>
  <c r="N6" i="5" s="1"/>
  <c r="I12" i="2"/>
  <c r="G6" i="5" s="1"/>
  <c r="E13" i="2"/>
  <c r="K5" i="5"/>
  <c r="I5" i="5"/>
  <c r="Q3" i="5"/>
  <c r="P3" i="5"/>
  <c r="Y3" i="5"/>
  <c r="R3" i="5"/>
  <c r="D9" i="2"/>
  <c r="S3" i="5"/>
  <c r="F12" i="2"/>
  <c r="H11" i="2"/>
  <c r="E5" i="5"/>
  <c r="O5" i="5" s="1"/>
  <c r="G11" i="2"/>
  <c r="J4" i="5"/>
  <c r="L4" i="5"/>
  <c r="K11" i="2" l="1"/>
  <c r="F5" i="5" s="1"/>
  <c r="D7" i="5"/>
  <c r="N7" i="5" s="1"/>
  <c r="I13" i="2"/>
  <c r="G7" i="5" s="1"/>
  <c r="E14" i="2"/>
  <c r="R4" i="5"/>
  <c r="Q4" i="5"/>
  <c r="P4" i="5"/>
  <c r="D10" i="2"/>
  <c r="Y4" i="5"/>
  <c r="S4" i="5"/>
  <c r="K6" i="5"/>
  <c r="I6" i="5"/>
  <c r="J5" i="5"/>
  <c r="L5" i="5"/>
  <c r="M3" i="5"/>
  <c r="H3" i="5" s="1"/>
  <c r="L9" i="2" s="1"/>
  <c r="M9" i="2" s="1"/>
  <c r="N9" i="2" s="1"/>
  <c r="F13" i="2"/>
  <c r="H12" i="2"/>
  <c r="G12" i="2"/>
  <c r="E6" i="5"/>
  <c r="O6" i="5" s="1"/>
  <c r="M4" i="5" l="1"/>
  <c r="H4" i="5" s="1"/>
  <c r="L10" i="2" s="1"/>
  <c r="M10" i="2" s="1"/>
  <c r="N10" i="2" s="1"/>
  <c r="K12" i="2"/>
  <c r="F6" i="5" s="1"/>
  <c r="E7" i="5"/>
  <c r="O7" i="5" s="1"/>
  <c r="G13" i="2"/>
  <c r="H13" i="2"/>
  <c r="K13" i="2" s="1"/>
  <c r="F14" i="2"/>
  <c r="L6" i="5"/>
  <c r="J6" i="5"/>
  <c r="I14" i="2"/>
  <c r="G8" i="5" s="1"/>
  <c r="E15" i="2"/>
  <c r="D8" i="5"/>
  <c r="N8" i="5" s="1"/>
  <c r="K7" i="5"/>
  <c r="I7" i="5"/>
  <c r="S5" i="5"/>
  <c r="D11" i="2"/>
  <c r="R5" i="5"/>
  <c r="Q5" i="5"/>
  <c r="P5" i="5"/>
  <c r="Y5" i="5"/>
  <c r="F7" i="5" l="1"/>
  <c r="F15" i="2"/>
  <c r="H14" i="2"/>
  <c r="E8" i="5"/>
  <c r="O8" i="5" s="1"/>
  <c r="G14" i="2"/>
  <c r="K14" i="2" s="1"/>
  <c r="E16" i="2"/>
  <c r="D9" i="5"/>
  <c r="N9" i="5" s="1"/>
  <c r="I15" i="2"/>
  <c r="G9" i="5" s="1"/>
  <c r="M5" i="5"/>
  <c r="H5" i="5" s="1"/>
  <c r="L11" i="2" s="1"/>
  <c r="M11" i="2" s="1"/>
  <c r="N11" i="2" s="1"/>
  <c r="I8" i="5"/>
  <c r="K8" i="5"/>
  <c r="S6" i="5"/>
  <c r="R6" i="5"/>
  <c r="Q6" i="5"/>
  <c r="P6" i="5"/>
  <c r="Y6" i="5"/>
  <c r="D12" i="2"/>
  <c r="L7" i="5"/>
  <c r="J7" i="5"/>
  <c r="M6" i="5" l="1"/>
  <c r="H6" i="5" s="1"/>
  <c r="L12" i="2" s="1"/>
  <c r="M12" i="2" s="1"/>
  <c r="N12" i="2" s="1"/>
  <c r="L8" i="5"/>
  <c r="J8" i="5"/>
  <c r="I16" i="2"/>
  <c r="G10" i="5" s="1"/>
  <c r="D10" i="5"/>
  <c r="N10" i="5" s="1"/>
  <c r="E17" i="2"/>
  <c r="E9" i="5"/>
  <c r="O9" i="5" s="1"/>
  <c r="H15" i="2"/>
  <c r="K15" i="2" s="1"/>
  <c r="G15" i="2"/>
  <c r="F16" i="2"/>
  <c r="F8" i="5"/>
  <c r="S7" i="5"/>
  <c r="D13" i="2"/>
  <c r="R7" i="5"/>
  <c r="Y7" i="5"/>
  <c r="Q7" i="5"/>
  <c r="P7" i="5"/>
  <c r="K9" i="5"/>
  <c r="I9" i="5"/>
  <c r="L9" i="5" l="1"/>
  <c r="J9" i="5"/>
  <c r="D11" i="5"/>
  <c r="N11" i="5" s="1"/>
  <c r="I17" i="2"/>
  <c r="G11" i="5" s="1"/>
  <c r="E18" i="2"/>
  <c r="I10" i="5"/>
  <c r="K10" i="5"/>
  <c r="E10" i="5"/>
  <c r="O10" i="5" s="1"/>
  <c r="F17" i="2"/>
  <c r="H16" i="2"/>
  <c r="G16" i="2"/>
  <c r="K16" i="2" s="1"/>
  <c r="F9" i="5"/>
  <c r="Y8" i="5"/>
  <c r="Q8" i="5"/>
  <c r="P8" i="5"/>
  <c r="R8" i="5"/>
  <c r="D14" i="2"/>
  <c r="S8" i="5"/>
  <c r="M7" i="5"/>
  <c r="H7" i="5" s="1"/>
  <c r="L13" i="2" s="1"/>
  <c r="M13" i="2" s="1"/>
  <c r="N13" i="2" s="1"/>
  <c r="F10" i="5" l="1"/>
  <c r="D12" i="5"/>
  <c r="N12" i="5" s="1"/>
  <c r="E19" i="2"/>
  <c r="I18" i="2"/>
  <c r="G12" i="5" s="1"/>
  <c r="E11" i="5"/>
  <c r="O11" i="5" s="1"/>
  <c r="F18" i="2"/>
  <c r="H17" i="2"/>
  <c r="K17" i="2" s="1"/>
  <c r="G17" i="2"/>
  <c r="M8" i="5"/>
  <c r="H8" i="5" s="1"/>
  <c r="L14" i="2" s="1"/>
  <c r="M14" i="2" s="1"/>
  <c r="N14" i="2" s="1"/>
  <c r="S9" i="5"/>
  <c r="R9" i="5"/>
  <c r="Y9" i="5"/>
  <c r="Q9" i="5"/>
  <c r="D15" i="2"/>
  <c r="P9" i="5"/>
  <c r="K11" i="5"/>
  <c r="I11" i="5"/>
  <c r="L10" i="5"/>
  <c r="J10" i="5"/>
  <c r="I12" i="5" l="1"/>
  <c r="K12" i="5"/>
  <c r="F11" i="5"/>
  <c r="G18" i="2"/>
  <c r="E12" i="5"/>
  <c r="O12" i="5" s="1"/>
  <c r="H18" i="2"/>
  <c r="F19" i="2"/>
  <c r="D13" i="5"/>
  <c r="N13" i="5" s="1"/>
  <c r="I19" i="2"/>
  <c r="G13" i="5" s="1"/>
  <c r="Y10" i="5"/>
  <c r="Q10" i="5"/>
  <c r="P10" i="5"/>
  <c r="D16" i="2"/>
  <c r="R10" i="5"/>
  <c r="S10" i="5"/>
  <c r="L11" i="5"/>
  <c r="J11" i="5"/>
  <c r="M9" i="5"/>
  <c r="H9" i="5" s="1"/>
  <c r="L15" i="2" s="1"/>
  <c r="M15" i="2" s="1"/>
  <c r="N15" i="2" s="1"/>
  <c r="K18" i="2" l="1"/>
  <c r="F12" i="5" s="1"/>
  <c r="M10" i="5"/>
  <c r="H10" i="5" s="1"/>
  <c r="L16" i="2" s="1"/>
  <c r="M16" i="2" s="1"/>
  <c r="N16" i="2" s="1"/>
  <c r="S11" i="5"/>
  <c r="R11" i="5"/>
  <c r="Y11" i="5"/>
  <c r="Q11" i="5"/>
  <c r="P11" i="5"/>
  <c r="D17" i="2"/>
  <c r="K13" i="5"/>
  <c r="I13" i="5"/>
  <c r="L12" i="5"/>
  <c r="J12" i="5"/>
  <c r="E13" i="5"/>
  <c r="O13" i="5" s="1"/>
  <c r="H19" i="2"/>
  <c r="G19" i="2"/>
  <c r="K19" i="2" s="1"/>
  <c r="L13" i="5" l="1"/>
  <c r="J13" i="5"/>
  <c r="Y12" i="5"/>
  <c r="Q12" i="5"/>
  <c r="P12" i="5"/>
  <c r="D18" i="2"/>
  <c r="R12" i="5"/>
  <c r="S12" i="5"/>
  <c r="M11" i="5"/>
  <c r="H11" i="5" s="1"/>
  <c r="L17" i="2" s="1"/>
  <c r="M17" i="2" s="1"/>
  <c r="N17" i="2" s="1"/>
  <c r="F13" i="5"/>
  <c r="M12" i="5" l="1"/>
  <c r="H12" i="5" s="1"/>
  <c r="L18" i="2" s="1"/>
  <c r="M18" i="2" s="1"/>
  <c r="N18" i="2" s="1"/>
  <c r="D19" i="2"/>
  <c r="S13" i="5"/>
  <c r="R13" i="5"/>
  <c r="Y13" i="5"/>
  <c r="Q13" i="5"/>
  <c r="P13" i="5"/>
  <c r="M13" i="5" l="1"/>
  <c r="H13" i="5" s="1"/>
  <c r="L19" i="2" s="1"/>
  <c r="M19" i="2" s="1"/>
  <c r="N19" i="2" s="1"/>
</calcChain>
</file>

<file path=xl/sharedStrings.xml><?xml version="1.0" encoding="utf-8"?>
<sst xmlns="http://schemas.openxmlformats.org/spreadsheetml/2006/main" count="202" uniqueCount="146">
  <si>
    <t>Rate per hour</t>
  </si>
  <si>
    <t>Sales Support Business Analyst</t>
  </si>
  <si>
    <t>Sales Rep</t>
  </si>
  <si>
    <t>Sales Support Technical Rep</t>
  </si>
  <si>
    <t>Scrum Master</t>
  </si>
  <si>
    <t>Business Analyst</t>
  </si>
  <si>
    <t>Developer</t>
  </si>
  <si>
    <t>Tester</t>
  </si>
  <si>
    <t>Monthly fee</t>
  </si>
  <si>
    <t>Initial tech call</t>
  </si>
  <si>
    <t>Extended support per hour</t>
  </si>
  <si>
    <t>Cloud Support Admin</t>
  </si>
  <si>
    <t>Tech Support Rep</t>
  </si>
  <si>
    <t>Demo fee</t>
  </si>
  <si>
    <t>Average engagement</t>
  </si>
  <si>
    <t>weeks</t>
  </si>
  <si>
    <t>Average engagement hours</t>
  </si>
  <si>
    <t>hours</t>
  </si>
  <si>
    <t>Call to close ratio</t>
  </si>
  <si>
    <t>Presentation hours</t>
  </si>
  <si>
    <t>Burn per call</t>
  </si>
  <si>
    <t>Burn per presentation</t>
  </si>
  <si>
    <t>Sales team cost per hour</t>
  </si>
  <si>
    <t>Presentation team cost per hour</t>
  </si>
  <si>
    <t>Proposal team cost per hour</t>
  </si>
  <si>
    <t>Proposal hours</t>
  </si>
  <si>
    <t>Call hours</t>
  </si>
  <si>
    <t>Burn per proposal</t>
  </si>
  <si>
    <t>Burn per prospect</t>
  </si>
  <si>
    <t>Closes</t>
  </si>
  <si>
    <t>week #</t>
  </si>
  <si>
    <t>Jan</t>
  </si>
  <si>
    <t>Feb</t>
  </si>
  <si>
    <t>Mar</t>
  </si>
  <si>
    <t>Apr</t>
  </si>
  <si>
    <t>May</t>
  </si>
  <si>
    <t>Aug</t>
  </si>
  <si>
    <t>Jul</t>
  </si>
  <si>
    <t>Jun</t>
  </si>
  <si>
    <t>Sep</t>
  </si>
  <si>
    <t>Oct</t>
  </si>
  <si>
    <t>Nov</t>
  </si>
  <si>
    <t>Dec</t>
  </si>
  <si>
    <t>Quarter offset</t>
  </si>
  <si>
    <t>Sales rep count</t>
  </si>
  <si>
    <t>Calls per week from cell</t>
  </si>
  <si>
    <t>Randomize multiplier</t>
  </si>
  <si>
    <t>Randomize upper</t>
  </si>
  <si>
    <t>Randomize lower</t>
  </si>
  <si>
    <t>Seasonal quarterly rate</t>
  </si>
  <si>
    <t>Seasonal quarterly rate cell</t>
  </si>
  <si>
    <t>Engagement count</t>
  </si>
  <si>
    <t>Ongoing count</t>
  </si>
  <si>
    <t>Number of customers by year end</t>
  </si>
  <si>
    <t>Average weekly rate</t>
  </si>
  <si>
    <t>Revenue</t>
  </si>
  <si>
    <t>Year End</t>
  </si>
  <si>
    <t>Weekly Revenue</t>
  </si>
  <si>
    <t>Average calls per week per sales rep</t>
  </si>
  <si>
    <t>Expenses</t>
  </si>
  <si>
    <t>Salary</t>
  </si>
  <si>
    <t>Hourly</t>
  </si>
  <si>
    <t>Column #</t>
  </si>
  <si>
    <t>Marketing and Advertising</t>
  </si>
  <si>
    <t>Seasonal rate</t>
  </si>
  <si>
    <t>Monthly</t>
  </si>
  <si>
    <t>Marketing multiplier</t>
  </si>
  <si>
    <t>Marketing sustain monthly minimum</t>
  </si>
  <si>
    <t>Startup Phase</t>
  </si>
  <si>
    <t>Wages and salaries</t>
  </si>
  <si>
    <t>Outside services</t>
  </si>
  <si>
    <t>Supplies</t>
  </si>
  <si>
    <t>Meals and entertainment</t>
  </si>
  <si>
    <t>Rent</t>
  </si>
  <si>
    <t>Utilities</t>
  </si>
  <si>
    <t>Depreciation</t>
  </si>
  <si>
    <t>Insurance</t>
  </si>
  <si>
    <t>Repairs and maintenance</t>
  </si>
  <si>
    <t>Other expenses (specify)</t>
  </si>
  <si>
    <t>Billable Hours per week</t>
  </si>
  <si>
    <t>Augmentation</t>
  </si>
  <si>
    <t>Payroll tax</t>
  </si>
  <si>
    <t>Benefits</t>
  </si>
  <si>
    <t>Billable hour spread</t>
  </si>
  <si>
    <t>Scrum Master (outside percentage)</t>
  </si>
  <si>
    <t>Employer Cost:</t>
  </si>
  <si>
    <t>Commission</t>
  </si>
  <si>
    <t>Sales rep hours</t>
  </si>
  <si>
    <t>Average engagement revenue</t>
  </si>
  <si>
    <t>Sales hours per engagement</t>
  </si>
  <si>
    <t>Avg Bill Hours</t>
  </si>
  <si>
    <t>Average engagement billable hours</t>
  </si>
  <si>
    <t>Phone time per engagement</t>
  </si>
  <si>
    <t>-- Hosting</t>
  </si>
  <si>
    <t>-- Quickbooks online</t>
  </si>
  <si>
    <t>-- Online business</t>
  </si>
  <si>
    <t>Travel</t>
  </si>
  <si>
    <t>Income (before taxes)</t>
  </si>
  <si>
    <t>Net Income (after taxes)</t>
  </si>
  <si>
    <t>Billable Hours 
per week</t>
  </si>
  <si>
    <t>Average revenue base per year</t>
  </si>
  <si>
    <t>Average base customer count per year</t>
  </si>
  <si>
    <t>Average base billable hours per month</t>
  </si>
  <si>
    <t>Customers per week</t>
  </si>
  <si>
    <t>Average customers per week</t>
  </si>
  <si>
    <t>Ongoing Customers</t>
  </si>
  <si>
    <t>Billable hours</t>
  </si>
  <si>
    <t>Year</t>
  </si>
  <si>
    <t>Year Number</t>
  </si>
  <si>
    <t>Industry growth rate</t>
  </si>
  <si>
    <t>Average ongoing, per customer, per week</t>
  </si>
  <si>
    <t>Maturity curvedown</t>
  </si>
  <si>
    <t>Startup growth rate:</t>
  </si>
  <si>
    <t>Ongoing Phase</t>
  </si>
  <si>
    <t>per average customer per week</t>
  </si>
  <si>
    <t>lookup</t>
  </si>
  <si>
    <t>Office Manager</t>
  </si>
  <si>
    <t>Office manager</t>
  </si>
  <si>
    <t>Average
Customers per Week per rep</t>
  </si>
  <si>
    <t>Sales reps</t>
  </si>
  <si>
    <t>Equipment</t>
  </si>
  <si>
    <t>per employee</t>
  </si>
  <si>
    <t>fixed</t>
  </si>
  <si>
    <t>Phone, internet services (Twilio)</t>
  </si>
  <si>
    <t>per sales rep</t>
  </si>
  <si>
    <t>Total Expenses</t>
  </si>
  <si>
    <t>Employees</t>
  </si>
  <si>
    <t>Salaries sheet offset</t>
  </si>
  <si>
    <t>Hosting</t>
  </si>
  <si>
    <t>per ongoing customer</t>
  </si>
  <si>
    <t>+$20 per employee</t>
  </si>
  <si>
    <t>+$50 per employee</t>
  </si>
  <si>
    <t>Cloud System Admin</t>
  </si>
  <si>
    <t>Wages (minus rep):</t>
  </si>
  <si>
    <t>Sales salaries</t>
  </si>
  <si>
    <t>Quickbooks Online</t>
  </si>
  <si>
    <t>Online Business</t>
  </si>
  <si>
    <t>Other</t>
  </si>
  <si>
    <t>Tech calls per month</t>
  </si>
  <si>
    <t>Retention rate</t>
  </si>
  <si>
    <t>Extended support hours per month</t>
  </si>
  <si>
    <t>Billable Rate</t>
  </si>
  <si>
    <t>Manager</t>
  </si>
  <si>
    <t>Total Employee Count</t>
  </si>
  <si>
    <t>Employee Count (minus rep, manager):</t>
  </si>
  <si>
    <t>Monthly call capacity per tech 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</si>
</sst>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&quot;$&quot;#,##0"/>
    <numFmt numFmtId="166" formatCode="0.0"/>
  </numFmts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2" borderId="2" applyNumberFormat="0" applyAlignment="0" applyProtection="0"/>
    <xf numFmtId="9" fontId="5" fillId="0" borderId="0" applyFont="0" applyFill="0" applyBorder="0" applyAlignment="0" applyProtection="0"/>
    <xf numFmtId="0" fontId="5" fillId="4" borderId="6" applyNumberFormat="0" applyFont="0" applyAlignment="0" applyProtection="0"/>
  </cellStyleXfs>
  <cellXfs count="81">
    <xf numFmtId="0" fontId="0" fillId="0" borderId="0" xfId="0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Border="1"/>
    <xf numFmtId="165" fontId="0" fillId="0" borderId="0" xfId="0" applyNumberFormat="1" applyBorder="1"/>
    <xf numFmtId="165" fontId="0" fillId="0" borderId="0" xfId="0" applyNumberForma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9" fontId="0" fillId="0" borderId="0" xfId="0" applyNumberFormat="1"/>
    <xf numFmtId="0" fontId="2" fillId="2" borderId="0" xfId="1" applyBorder="1"/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9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left"/>
    </xf>
    <xf numFmtId="165" fontId="0" fillId="0" borderId="3" xfId="0" applyNumberFormat="1" applyBorder="1"/>
    <xf numFmtId="165" fontId="0" fillId="0" borderId="4" xfId="0" applyNumberFormat="1" applyBorder="1"/>
    <xf numFmtId="2" fontId="0" fillId="0" borderId="0" xfId="0" applyNumberFormat="1" applyBorder="1"/>
    <xf numFmtId="3" fontId="0" fillId="0" borderId="0" xfId="0" applyNumberFormat="1" applyBorder="1" applyAlignment="1">
      <alignment horizontal="right"/>
    </xf>
    <xf numFmtId="1" fontId="0" fillId="0" borderId="3" xfId="0" applyNumberFormat="1" applyBorder="1"/>
    <xf numFmtId="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0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166" fontId="0" fillId="0" borderId="0" xfId="0" applyNumberFormat="1" applyBorder="1" applyAlignment="1">
      <alignment horizontal="right"/>
    </xf>
    <xf numFmtId="166" fontId="0" fillId="0" borderId="3" xfId="0" applyNumberFormat="1" applyBorder="1" applyAlignment="1">
      <alignment horizontal="left"/>
    </xf>
    <xf numFmtId="1" fontId="0" fillId="0" borderId="0" xfId="0" applyNumberFormat="1" applyBorder="1"/>
    <xf numFmtId="1" fontId="0" fillId="0" borderId="0" xfId="0" applyNumberFormat="1" applyBorder="1" applyAlignment="1">
      <alignment horizontal="right"/>
    </xf>
    <xf numFmtId="9" fontId="0" fillId="0" borderId="0" xfId="0" applyNumberFormat="1" applyBorder="1"/>
    <xf numFmtId="9" fontId="0" fillId="0" borderId="3" xfId="0" applyNumberFormat="1" applyBorder="1"/>
    <xf numFmtId="2" fontId="0" fillId="0" borderId="0" xfId="0" applyNumberFormat="1" applyBorder="1" applyAlignment="1">
      <alignment horizontal="right"/>
    </xf>
    <xf numFmtId="2" fontId="0" fillId="0" borderId="3" xfId="0" applyNumberFormat="1" applyBorder="1"/>
    <xf numFmtId="0" fontId="0" fillId="3" borderId="0" xfId="0" applyFill="1" applyBorder="1"/>
    <xf numFmtId="0" fontId="0" fillId="0" borderId="1" xfId="0" applyBorder="1" applyAlignment="1">
      <alignment horizontal="center"/>
    </xf>
    <xf numFmtId="1" fontId="0" fillId="0" borderId="0" xfId="0" applyNumberFormat="1" applyBorder="1" applyAlignment="1">
      <alignment horizontal="left"/>
    </xf>
    <xf numFmtId="165" fontId="0" fillId="0" borderId="0" xfId="0" applyNumberFormat="1" applyFill="1" applyBorder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 vertical="center"/>
    </xf>
    <xf numFmtId="1" fontId="0" fillId="0" borderId="5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" fontId="1" fillId="0" borderId="0" xfId="0" applyNumberFormat="1" applyFont="1" applyAlignment="1">
      <alignment horizontal="center" wrapText="1"/>
    </xf>
    <xf numFmtId="3" fontId="0" fillId="0" borderId="0" xfId="0" applyNumberFormat="1"/>
    <xf numFmtId="0" fontId="0" fillId="0" borderId="0" xfId="0" applyFill="1" applyBorder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right"/>
    </xf>
    <xf numFmtId="3" fontId="0" fillId="0" borderId="0" xfId="0" applyNumberFormat="1" applyFill="1" applyBorder="1"/>
    <xf numFmtId="0" fontId="0" fillId="0" borderId="0" xfId="0" quotePrefix="1"/>
    <xf numFmtId="0" fontId="1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 applyAlignment="1">
      <alignment horizontal="right"/>
    </xf>
    <xf numFmtId="2" fontId="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9" fontId="0" fillId="0" borderId="0" xfId="2" applyFont="1"/>
    <xf numFmtId="165" fontId="0" fillId="4" borderId="6" xfId="3" applyNumberFormat="1" applyFont="1"/>
    <xf numFmtId="165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0" xfId="0" quotePrefix="1" applyFont="1" applyAlignment="1">
      <alignment horizontal="center" wrapText="1"/>
    </xf>
    <xf numFmtId="9" fontId="0" fillId="0" borderId="0" xfId="2" applyFont="1" applyBorder="1" applyAlignment="1">
      <alignment horizontal="right"/>
    </xf>
    <xf numFmtId="164" fontId="0" fillId="0" borderId="0" xfId="0" applyNumberFormat="1" applyAlignment="1">
      <alignment horizontal="center"/>
    </xf>
    <xf numFmtId="1" fontId="0" fillId="0" borderId="5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5" fontId="0" fillId="0" borderId="5" xfId="0" applyNumberFormat="1" applyBorder="1" applyAlignment="1">
      <alignment horizontal="left"/>
    </xf>
    <xf numFmtId="165" fontId="0" fillId="0" borderId="0" xfId="0" applyNumberFormat="1" applyAlignment="1">
      <alignment horizontal="left"/>
    </xf>
    <xf numFmtId="0" fontId="3" fillId="0" borderId="0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4">
    <cellStyle name="Input" xfId="1" builtinId="20"/>
    <cellStyle name="Normal" xfId="0" builtinId="0"/>
    <cellStyle name="Note" xfId="3" builtinId="10"/>
    <cellStyle name="Percent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Customers per Week</a:t>
            </a:r>
            <a:r>
              <a:rPr lang="en-US" baseline="0"/>
              <a:t> Forecast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87270341207349"/>
          <c:y val="0.17171296296296296"/>
          <c:w val="0.82712729658792661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forward val="2"/>
            <c:dispRSqr val="0"/>
            <c:dispEq val="0"/>
          </c:trendline>
          <c:xVal>
            <c:numRef>
              <c:f>'Yearly Income Statement'!$B$8:$B$19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xVal>
          <c:yVal>
            <c:numRef>
              <c:f>'Yearly Income Statement'!$E$8:$E$19</c:f>
              <c:numCache>
                <c:formatCode>0.00</c:formatCode>
                <c:ptCount val="12"/>
                <c:pt idx="0">
                  <c:v>2</c:v>
                </c:pt>
                <c:pt idx="1">
                  <c:v>2.1298424851939699</c:v>
                </c:pt>
                <c:pt idx="2">
                  <c:v>2.2187269293600642</c:v>
                </c:pt>
                <c:pt idx="3">
                  <c:v>2.2784814343726287</c:v>
                </c:pt>
                <c:pt idx="4">
                  <c:v>3.4772732451239623</c:v>
                </c:pt>
                <c:pt idx="5">
                  <c:v>4.5769322110380806</c:v>
                </c:pt>
                <c:pt idx="6">
                  <c:v>8.2079351964765834</c:v>
                </c:pt>
                <c:pt idx="7">
                  <c:v>11.998102122556169</c:v>
                </c:pt>
                <c:pt idx="8">
                  <c:v>15.356196721211393</c:v>
                </c:pt>
                <c:pt idx="9">
                  <c:v>24.037186163857282</c:v>
                </c:pt>
                <c:pt idx="10">
                  <c:v>32.164262734716061</c:v>
                </c:pt>
                <c:pt idx="11">
                  <c:v>38.867990159093232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2-4F9D-AF70-4D874709A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520144"/>
        <c:axId val="975515984"/>
      </c:scatterChart>
      <c:valAx>
        <c:axId val="97552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515984"/>
        <c:crosses val="autoZero"/>
        <c:crossBetween val="midCat"/>
      </c:valAx>
      <c:valAx>
        <c:axId val="97551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52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161925</xdr:rowOff>
        </xdr:from>
        <xdr:to>
          <xdr:col>3</xdr:col>
          <xdr:colOff>1028700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66675</xdr:rowOff>
        </xdr:from>
        <xdr:to>
          <xdr:col>3</xdr:col>
          <xdr:colOff>1028700</xdr:colOff>
          <xdr:row>3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22</xdr:row>
      <xdr:rowOff>23812</xdr:rowOff>
    </xdr:from>
    <xdr:to>
      <xdr:col>11</xdr:col>
      <xdr:colOff>638175</xdr:colOff>
      <xdr:row>36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N52"/>
  <sheetViews>
    <sheetView tabSelected="1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G19" sqref="G19:J19"/>
    </sheetView>
  </sheetViews>
  <sheetFormatPr defaultRowHeight="15" x14ac:dyDescent="0.25"/>
  <cols>
    <col min="1" max="1" width="38" style="6" bestFit="1" customWidth="1"/>
    <col min="2" max="2" width="11.7109375" style="17" customWidth="1"/>
    <col min="3" max="3" width="9.140625" style="20"/>
    <col min="4" max="4" width="18.42578125" style="2" customWidth="1"/>
    <col min="5" max="5" width="16.140625" style="2" customWidth="1"/>
    <col min="7" max="54" width="6.7109375" customWidth="1"/>
    <col min="55" max="55" width="20.7109375" customWidth="1"/>
  </cols>
  <sheetData>
    <row r="1" spans="1:55" x14ac:dyDescent="0.25">
      <c r="D1" s="1"/>
      <c r="E1" s="1"/>
    </row>
    <row r="2" spans="1:55" s="6" customFormat="1" x14ac:dyDescent="0.25">
      <c r="A2" s="6" t="s">
        <v>0</v>
      </c>
      <c r="B2" s="17">
        <v>50</v>
      </c>
      <c r="C2" s="20"/>
      <c r="D2" s="8"/>
      <c r="E2" s="8"/>
    </row>
    <row r="3" spans="1:55" s="6" customFormat="1" ht="17.25" x14ac:dyDescent="0.3">
      <c r="A3" s="6" t="s">
        <v>8</v>
      </c>
      <c r="B3" s="17">
        <v>300</v>
      </c>
      <c r="C3" s="20"/>
      <c r="D3" s="8"/>
      <c r="E3" s="8"/>
      <c r="G3" s="76">
        <v>2020</v>
      </c>
      <c r="H3" s="76"/>
      <c r="I3" s="76"/>
      <c r="J3" s="76"/>
    </row>
    <row r="4" spans="1:55" s="6" customFormat="1" x14ac:dyDescent="0.25">
      <c r="A4" s="6" t="s">
        <v>13</v>
      </c>
      <c r="B4" s="17">
        <v>0</v>
      </c>
      <c r="C4" s="20"/>
      <c r="D4" s="8"/>
      <c r="E4" s="8"/>
      <c r="G4" s="77" t="s">
        <v>31</v>
      </c>
      <c r="H4" s="77"/>
      <c r="I4" s="77"/>
      <c r="J4" s="77"/>
      <c r="K4" s="77" t="s">
        <v>32</v>
      </c>
      <c r="L4" s="77"/>
      <c r="M4" s="77"/>
      <c r="N4" s="77"/>
      <c r="O4" s="77" t="s">
        <v>33</v>
      </c>
      <c r="P4" s="77"/>
      <c r="Q4" s="77"/>
      <c r="R4" s="77"/>
      <c r="S4" s="77" t="s">
        <v>34</v>
      </c>
      <c r="T4" s="77"/>
      <c r="U4" s="77"/>
      <c r="V4" s="77"/>
      <c r="W4" s="77" t="s">
        <v>35</v>
      </c>
      <c r="X4" s="77"/>
      <c r="Y4" s="77"/>
      <c r="Z4" s="77"/>
      <c r="AA4" s="77" t="s">
        <v>38</v>
      </c>
      <c r="AB4" s="77"/>
      <c r="AC4" s="77"/>
      <c r="AD4" s="77"/>
      <c r="AE4" s="77" t="s">
        <v>37</v>
      </c>
      <c r="AF4" s="77"/>
      <c r="AG4" s="77"/>
      <c r="AH4" s="77"/>
      <c r="AI4" s="77" t="s">
        <v>36</v>
      </c>
      <c r="AJ4" s="77"/>
      <c r="AK4" s="77"/>
      <c r="AL4" s="77"/>
      <c r="AM4" s="77" t="s">
        <v>39</v>
      </c>
      <c r="AN4" s="77"/>
      <c r="AO4" s="77"/>
      <c r="AP4" s="77"/>
      <c r="AQ4" s="77" t="s">
        <v>40</v>
      </c>
      <c r="AR4" s="77"/>
      <c r="AS4" s="77"/>
      <c r="AT4" s="77"/>
      <c r="AU4" s="77" t="s">
        <v>41</v>
      </c>
      <c r="AV4" s="77"/>
      <c r="AW4" s="77"/>
      <c r="AX4" s="77"/>
      <c r="AY4" s="77" t="s">
        <v>42</v>
      </c>
      <c r="AZ4" s="77"/>
      <c r="BA4" s="77"/>
      <c r="BB4" s="77"/>
    </row>
    <row r="5" spans="1:55" s="6" customFormat="1" x14ac:dyDescent="0.25">
      <c r="A5" s="6" t="s">
        <v>9</v>
      </c>
      <c r="B5" s="17">
        <v>25</v>
      </c>
      <c r="C5" s="20"/>
      <c r="D5" s="8"/>
      <c r="E5" s="8"/>
    </row>
    <row r="6" spans="1:55" s="9" customFormat="1" x14ac:dyDescent="0.25">
      <c r="A6" s="9" t="s">
        <v>10</v>
      </c>
      <c r="B6" s="18">
        <v>100</v>
      </c>
      <c r="C6" s="21"/>
      <c r="D6" s="10"/>
      <c r="E6" s="10" t="s">
        <v>56</v>
      </c>
      <c r="F6" s="9" t="s">
        <v>30</v>
      </c>
      <c r="G6" s="9">
        <v>1</v>
      </c>
      <c r="H6" s="9">
        <f t="shared" ref="H6:BB6" si="0">G6+1</f>
        <v>2</v>
      </c>
      <c r="I6" s="9">
        <f t="shared" si="0"/>
        <v>3</v>
      </c>
      <c r="J6" s="9">
        <f t="shared" si="0"/>
        <v>4</v>
      </c>
      <c r="K6" s="9">
        <f t="shared" si="0"/>
        <v>5</v>
      </c>
      <c r="L6" s="9">
        <f t="shared" si="0"/>
        <v>6</v>
      </c>
      <c r="M6" s="9">
        <f t="shared" si="0"/>
        <v>7</v>
      </c>
      <c r="N6" s="9">
        <f t="shared" si="0"/>
        <v>8</v>
      </c>
      <c r="O6" s="9">
        <f t="shared" si="0"/>
        <v>9</v>
      </c>
      <c r="P6" s="9">
        <f t="shared" si="0"/>
        <v>10</v>
      </c>
      <c r="Q6" s="9">
        <f t="shared" si="0"/>
        <v>11</v>
      </c>
      <c r="R6" s="9">
        <f t="shared" si="0"/>
        <v>12</v>
      </c>
      <c r="S6" s="9">
        <f t="shared" si="0"/>
        <v>13</v>
      </c>
      <c r="T6" s="9">
        <f t="shared" si="0"/>
        <v>14</v>
      </c>
      <c r="U6" s="9">
        <f t="shared" si="0"/>
        <v>15</v>
      </c>
      <c r="V6" s="9">
        <f t="shared" si="0"/>
        <v>16</v>
      </c>
      <c r="W6" s="9">
        <f t="shared" si="0"/>
        <v>17</v>
      </c>
      <c r="X6" s="9">
        <f t="shared" si="0"/>
        <v>18</v>
      </c>
      <c r="Y6" s="9">
        <f t="shared" si="0"/>
        <v>19</v>
      </c>
      <c r="Z6" s="9">
        <f t="shared" si="0"/>
        <v>20</v>
      </c>
      <c r="AA6" s="9">
        <f t="shared" si="0"/>
        <v>21</v>
      </c>
      <c r="AB6" s="9">
        <f t="shared" si="0"/>
        <v>22</v>
      </c>
      <c r="AC6" s="9">
        <f t="shared" si="0"/>
        <v>23</v>
      </c>
      <c r="AD6" s="9">
        <f t="shared" si="0"/>
        <v>24</v>
      </c>
      <c r="AE6" s="9">
        <f t="shared" si="0"/>
        <v>25</v>
      </c>
      <c r="AF6" s="9">
        <f t="shared" si="0"/>
        <v>26</v>
      </c>
      <c r="AG6" s="9">
        <f t="shared" si="0"/>
        <v>27</v>
      </c>
      <c r="AH6" s="9">
        <f t="shared" si="0"/>
        <v>28</v>
      </c>
      <c r="AI6" s="9">
        <f t="shared" si="0"/>
        <v>29</v>
      </c>
      <c r="AJ6" s="9">
        <f t="shared" si="0"/>
        <v>30</v>
      </c>
      <c r="AK6" s="9">
        <f t="shared" si="0"/>
        <v>31</v>
      </c>
      <c r="AL6" s="9">
        <f t="shared" si="0"/>
        <v>32</v>
      </c>
      <c r="AM6" s="9">
        <f t="shared" si="0"/>
        <v>33</v>
      </c>
      <c r="AN6" s="9">
        <f t="shared" si="0"/>
        <v>34</v>
      </c>
      <c r="AO6" s="9">
        <f t="shared" si="0"/>
        <v>35</v>
      </c>
      <c r="AP6" s="9">
        <f t="shared" si="0"/>
        <v>36</v>
      </c>
      <c r="AQ6" s="9">
        <f t="shared" si="0"/>
        <v>37</v>
      </c>
      <c r="AR6" s="9">
        <f t="shared" si="0"/>
        <v>38</v>
      </c>
      <c r="AS6" s="9">
        <f t="shared" si="0"/>
        <v>39</v>
      </c>
      <c r="AT6" s="9">
        <f t="shared" si="0"/>
        <v>40</v>
      </c>
      <c r="AU6" s="9">
        <f t="shared" si="0"/>
        <v>41</v>
      </c>
      <c r="AV6" s="9">
        <f t="shared" si="0"/>
        <v>42</v>
      </c>
      <c r="AW6" s="9">
        <f t="shared" si="0"/>
        <v>43</v>
      </c>
      <c r="AX6" s="9">
        <f t="shared" si="0"/>
        <v>44</v>
      </c>
      <c r="AY6" s="9">
        <f t="shared" si="0"/>
        <v>45</v>
      </c>
      <c r="AZ6" s="9">
        <f t="shared" si="0"/>
        <v>46</v>
      </c>
      <c r="BA6" s="9">
        <f t="shared" si="0"/>
        <v>47</v>
      </c>
      <c r="BB6" s="9">
        <f t="shared" si="0"/>
        <v>48</v>
      </c>
      <c r="BC6" s="38"/>
    </row>
    <row r="7" spans="1:55" s="7" customFormat="1" x14ac:dyDescent="0.25">
      <c r="B7" s="26"/>
      <c r="C7" s="20"/>
      <c r="D7" s="8" t="s">
        <v>55</v>
      </c>
      <c r="E7" s="40">
        <f ca="1">SUM(G7:BB7)</f>
        <v>311600</v>
      </c>
      <c r="G7" s="79">
        <f ca="1">SUM(G41:OFFSET(G41,0,MAX(3, COLUMN() - COLUMN(RIGHTMOST_CELL))))</f>
        <v>0</v>
      </c>
      <c r="H7" s="79"/>
      <c r="I7" s="79"/>
      <c r="J7" s="79"/>
      <c r="K7" s="79">
        <f ca="1">SUM(K41:OFFSET(K41,0,MAX(3, COLUMN() - COLUMN(RIGHTMOST_CELL))))</f>
        <v>0</v>
      </c>
      <c r="L7" s="79"/>
      <c r="M7" s="79"/>
      <c r="N7" s="79"/>
      <c r="O7" s="79">
        <f ca="1">SUM(O41:OFFSET(O41,0,MAX(3, COLUMN() - COLUMN(RIGHTMOST_CELL))))</f>
        <v>0</v>
      </c>
      <c r="P7" s="79"/>
      <c r="Q7" s="79"/>
      <c r="R7" s="79"/>
      <c r="S7" s="79">
        <f ca="1">SUM(S41:OFFSET(S41,0,MAX(3, COLUMN() - COLUMN(RIGHTMOST_CELL))))</f>
        <v>13800</v>
      </c>
      <c r="T7" s="79"/>
      <c r="U7" s="79"/>
      <c r="V7" s="79"/>
      <c r="W7" s="79">
        <f ca="1">SUM(W41:OFFSET(W41,0,MAX(3, COLUMN() - COLUMN(RIGHTMOST_CELL))))</f>
        <v>41700</v>
      </c>
      <c r="X7" s="79"/>
      <c r="Y7" s="79"/>
      <c r="Z7" s="79"/>
      <c r="AA7" s="79">
        <f ca="1">SUM(AA41:OFFSET(AA41,0,MAX(3, COLUMN() - COLUMN(RIGHTMOST_CELL))))</f>
        <v>38700</v>
      </c>
      <c r="AB7" s="79"/>
      <c r="AC7" s="79"/>
      <c r="AD7" s="79"/>
      <c r="AE7" s="79">
        <f ca="1">SUM(AE41:OFFSET(AE41,0,MAX(3, COLUMN() - COLUMN(RIGHTMOST_CELL))))</f>
        <v>34500</v>
      </c>
      <c r="AF7" s="79"/>
      <c r="AG7" s="79"/>
      <c r="AH7" s="79"/>
      <c r="AI7" s="79">
        <f ca="1">SUM(AI41:OFFSET(AI41,0,MAX(3, COLUMN() - COLUMN(RIGHTMOST_CELL))))</f>
        <v>34900</v>
      </c>
      <c r="AJ7" s="79"/>
      <c r="AK7" s="79"/>
      <c r="AL7" s="79"/>
      <c r="AM7" s="79">
        <f ca="1">SUM(AM41:OFFSET(AM41,0,MAX(3, COLUMN() - COLUMN(RIGHTMOST_CELL))))</f>
        <v>50800</v>
      </c>
      <c r="AN7" s="79"/>
      <c r="AO7" s="79"/>
      <c r="AP7" s="79"/>
      <c r="AQ7" s="79">
        <f ca="1">SUM(AQ41:OFFSET(AQ41,0,MAX(3, COLUMN() - COLUMN(RIGHTMOST_CELL))))</f>
        <v>38000</v>
      </c>
      <c r="AR7" s="79"/>
      <c r="AS7" s="79"/>
      <c r="AT7" s="79"/>
      <c r="AU7" s="79">
        <f ca="1">SUM(AU41:OFFSET(AU41,0,MAX(4, COLUMN() - COLUMN(RIGHTMOST_CELL))))</f>
        <v>36000</v>
      </c>
      <c r="AV7" s="79"/>
      <c r="AW7" s="79"/>
      <c r="AX7" s="79"/>
      <c r="AY7" s="79">
        <f ca="1">SUM(AY41:OFFSET(AY41,0,MAX(4, COLUMN() - COLUMN(RIGHTMOST_CELL))))</f>
        <v>23200</v>
      </c>
      <c r="AZ7" s="79"/>
      <c r="BA7" s="79"/>
      <c r="BB7" s="79"/>
    </row>
    <row r="8" spans="1:55" s="3" customFormat="1" x14ac:dyDescent="0.25">
      <c r="A8" s="22" t="s">
        <v>14</v>
      </c>
      <c r="B8" s="23">
        <v>5</v>
      </c>
      <c r="C8" s="24" t="s">
        <v>15</v>
      </c>
      <c r="D8" s="4"/>
      <c r="E8" s="2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</row>
    <row r="9" spans="1:55" s="3" customFormat="1" x14ac:dyDescent="0.25">
      <c r="A9" s="22" t="s">
        <v>16</v>
      </c>
      <c r="B9" s="23">
        <f>B8*40</f>
        <v>200</v>
      </c>
      <c r="C9" s="24" t="s">
        <v>17</v>
      </c>
      <c r="D9" s="4"/>
      <c r="E9" s="2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</row>
    <row r="10" spans="1:55" s="3" customFormat="1" x14ac:dyDescent="0.25">
      <c r="A10" s="22" t="s">
        <v>18</v>
      </c>
      <c r="B10" s="25">
        <v>0.18</v>
      </c>
      <c r="C10" s="24"/>
      <c r="D10" s="4"/>
      <c r="E10" s="2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</row>
    <row r="11" spans="1:55" s="3" customFormat="1" x14ac:dyDescent="0.25">
      <c r="A11" s="22" t="s">
        <v>26</v>
      </c>
      <c r="B11" s="23">
        <v>4</v>
      </c>
      <c r="C11" s="24" t="s">
        <v>17</v>
      </c>
      <c r="D11" s="4"/>
      <c r="E11" s="2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</row>
    <row r="12" spans="1:55" s="3" customFormat="1" x14ac:dyDescent="0.25">
      <c r="A12" s="22" t="s">
        <v>25</v>
      </c>
      <c r="B12" s="23">
        <v>4</v>
      </c>
      <c r="C12" s="24"/>
      <c r="D12" s="4"/>
      <c r="E12" s="2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</row>
    <row r="13" spans="1:55" s="3" customFormat="1" x14ac:dyDescent="0.25">
      <c r="A13" s="22" t="s">
        <v>19</v>
      </c>
      <c r="B13" s="23">
        <v>2</v>
      </c>
      <c r="C13" s="24"/>
      <c r="D13" s="4"/>
      <c r="E13" s="2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</row>
    <row r="14" spans="1:55" x14ac:dyDescent="0.25">
      <c r="A14" s="6" t="s">
        <v>22</v>
      </c>
      <c r="B14" s="17">
        <f>Salaries!C2</f>
        <v>12.01923076923077</v>
      </c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</row>
    <row r="15" spans="1:55" x14ac:dyDescent="0.25">
      <c r="A15" s="22" t="s">
        <v>24</v>
      </c>
      <c r="B15" s="26">
        <f>Salaries!C3+Salaries!C2+Salaries!C4</f>
        <v>67.307692307692307</v>
      </c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</row>
    <row r="16" spans="1:55" x14ac:dyDescent="0.25">
      <c r="A16" s="6" t="s">
        <v>23</v>
      </c>
      <c r="B16" s="17">
        <f>Salaries!C3+Salaries!C4</f>
        <v>55.28846153846154</v>
      </c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</row>
    <row r="17" spans="1:66" s="3" customFormat="1" x14ac:dyDescent="0.25">
      <c r="A17" s="22" t="s">
        <v>21</v>
      </c>
      <c r="B17" s="17">
        <f>B16*B13</f>
        <v>110.57692307692308</v>
      </c>
      <c r="C17" s="24"/>
      <c r="D17" s="4"/>
      <c r="E17" s="2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</row>
    <row r="18" spans="1:66" s="3" customFormat="1" x14ac:dyDescent="0.25">
      <c r="A18" s="22" t="s">
        <v>27</v>
      </c>
      <c r="B18" s="17">
        <f>B15*B12</f>
        <v>269.23076923076923</v>
      </c>
      <c r="C18" s="24"/>
      <c r="D18" s="4"/>
      <c r="E18" s="2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</row>
    <row r="19" spans="1:66" s="3" customFormat="1" x14ac:dyDescent="0.25">
      <c r="A19" s="22" t="s">
        <v>28</v>
      </c>
      <c r="B19" s="17">
        <f>B11*B14</f>
        <v>48.07692307692308</v>
      </c>
      <c r="C19" s="24"/>
      <c r="D19" s="4"/>
      <c r="E19" s="2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</row>
    <row r="20" spans="1:66" s="3" customFormat="1" x14ac:dyDescent="0.25">
      <c r="A20" s="22" t="s">
        <v>20</v>
      </c>
      <c r="B20" s="17">
        <f>SUM(B17:B19)</f>
        <v>427.88461538461542</v>
      </c>
      <c r="C20" s="24"/>
      <c r="D20" s="4"/>
      <c r="E20" s="2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</row>
    <row r="21" spans="1:66" s="3" customFormat="1" x14ac:dyDescent="0.25">
      <c r="A21" s="22"/>
      <c r="B21" s="17"/>
      <c r="C21" s="24"/>
      <c r="D21" s="4"/>
      <c r="E21" s="2"/>
    </row>
    <row r="22" spans="1:66" s="3" customFormat="1" x14ac:dyDescent="0.25">
      <c r="A22" s="22" t="s">
        <v>44</v>
      </c>
      <c r="B22" s="27">
        <v>1</v>
      </c>
      <c r="C22" s="24"/>
      <c r="D22" s="4"/>
      <c r="E22" s="2"/>
    </row>
    <row r="23" spans="1:66" s="19" customFormat="1" x14ac:dyDescent="0.25">
      <c r="A23" s="28" t="s">
        <v>58</v>
      </c>
      <c r="B23" s="29">
        <v>4</v>
      </c>
      <c r="C23" s="30"/>
      <c r="E23" s="1"/>
      <c r="G23" s="80">
        <f>(SALES_REP_COUNT * CALLS_PER_WEEK_REP)*G30</f>
        <v>2.5</v>
      </c>
      <c r="H23" s="80"/>
      <c r="I23" s="80"/>
      <c r="J23" s="80"/>
      <c r="K23" s="80">
        <f>(SALES_REP_COUNT * CALLS_PER_WEEK_REP)*K30</f>
        <v>2.5</v>
      </c>
      <c r="L23" s="80"/>
      <c r="M23" s="80"/>
      <c r="N23" s="80"/>
      <c r="O23" s="80">
        <f>(SALES_REP_COUNT * CALLS_PER_WEEK_REP)*O30</f>
        <v>2.5</v>
      </c>
      <c r="P23" s="80"/>
      <c r="Q23" s="80"/>
      <c r="R23" s="80"/>
      <c r="S23" s="80">
        <f>(SALES_REP_COUNT * CALLS_PER_WEEK_REP)*S30</f>
        <v>6.6666666666666679</v>
      </c>
      <c r="T23" s="80"/>
      <c r="U23" s="80"/>
      <c r="V23" s="80"/>
      <c r="W23" s="80">
        <f>ROUND((SALES_REP_COUNT * CALLS_PER_WEEK_REP)*W30, 0)</f>
        <v>7</v>
      </c>
      <c r="X23" s="80"/>
      <c r="Y23" s="80"/>
      <c r="Z23" s="80"/>
      <c r="AA23" s="80">
        <f>ROUND((SALES_REP_COUNT * CALLS_PER_WEEK_REP)*AA30, 0)</f>
        <v>7</v>
      </c>
      <c r="AB23" s="80"/>
      <c r="AC23" s="80"/>
      <c r="AD23" s="80"/>
      <c r="AE23" s="80">
        <f>ROUND((SALES_REP_COUNT * CALLS_PER_WEEK_REP)*AE30, 0)</f>
        <v>5</v>
      </c>
      <c r="AF23" s="80"/>
      <c r="AG23" s="80"/>
      <c r="AH23" s="80"/>
      <c r="AI23" s="80">
        <f>ROUND((SALES_REP_COUNT * CALLS_PER_WEEK_REP)*AI30, 0)</f>
        <v>5</v>
      </c>
      <c r="AJ23" s="80"/>
      <c r="AK23" s="80"/>
      <c r="AL23" s="80"/>
      <c r="AM23" s="80">
        <f>ROUND((SALES_REP_COUNT * CALLS_PER_WEEK_REP)*AM30, 0)</f>
        <v>5</v>
      </c>
      <c r="AN23" s="80"/>
      <c r="AO23" s="80"/>
      <c r="AP23" s="80"/>
      <c r="AQ23" s="80">
        <f>ROUND((SALES_REP_COUNT * CALLS_PER_WEEK_REP)*AQ30, 0)</f>
        <v>4</v>
      </c>
      <c r="AR23" s="80"/>
      <c r="AS23" s="80"/>
      <c r="AT23" s="80"/>
      <c r="AU23" s="80">
        <f>ROUND((SALES_REP_COUNT * CALLS_PER_WEEK_REP)*AU30, 0)</f>
        <v>4</v>
      </c>
      <c r="AV23" s="80"/>
      <c r="AW23" s="80"/>
      <c r="AX23" s="80"/>
      <c r="AY23" s="80">
        <f>ROUND((SALES_REP_COUNT * CALLS_PER_WEEK_REP)*AY30, 0)</f>
        <v>4</v>
      </c>
      <c r="AZ23" s="80"/>
      <c r="BA23" s="80"/>
      <c r="BB23" s="80"/>
    </row>
    <row r="24" spans="1:66" s="5" customFormat="1" x14ac:dyDescent="0.25">
      <c r="A24" s="31"/>
      <c r="B24" s="27"/>
      <c r="C24" s="24"/>
      <c r="D24" s="46" t="s">
        <v>29</v>
      </c>
      <c r="E24" s="41"/>
      <c r="G24" s="5">
        <f t="shared" ref="G24:BB24" ca="1" si="1">ROUND(G37*CALLS_TO_CLOSE_RATIO, 0)</f>
        <v>0</v>
      </c>
      <c r="H24" s="5">
        <f t="shared" ca="1" si="1"/>
        <v>0</v>
      </c>
      <c r="I24" s="5">
        <f t="shared" ca="1" si="1"/>
        <v>0</v>
      </c>
      <c r="J24" s="5">
        <f t="shared" ca="1" si="1"/>
        <v>0</v>
      </c>
      <c r="K24" s="5">
        <f t="shared" ca="1" si="1"/>
        <v>0</v>
      </c>
      <c r="L24" s="5">
        <f t="shared" ca="1" si="1"/>
        <v>0</v>
      </c>
      <c r="M24" s="5">
        <f t="shared" ca="1" si="1"/>
        <v>0</v>
      </c>
      <c r="N24" s="5">
        <f t="shared" ca="1" si="1"/>
        <v>0</v>
      </c>
      <c r="O24" s="5">
        <f t="shared" ca="1" si="1"/>
        <v>0</v>
      </c>
      <c r="P24" s="5">
        <f t="shared" ca="1" si="1"/>
        <v>0</v>
      </c>
      <c r="Q24" s="5">
        <f t="shared" ca="1" si="1"/>
        <v>0</v>
      </c>
      <c r="R24" s="5">
        <f t="shared" ca="1" si="1"/>
        <v>0</v>
      </c>
      <c r="S24" s="5">
        <f t="shared" ca="1" si="1"/>
        <v>0</v>
      </c>
      <c r="T24" s="5">
        <f t="shared" ca="1" si="1"/>
        <v>1</v>
      </c>
      <c r="U24" s="5">
        <f t="shared" ca="1" si="1"/>
        <v>1</v>
      </c>
      <c r="V24" s="5">
        <f t="shared" ca="1" si="1"/>
        <v>1</v>
      </c>
      <c r="W24" s="5">
        <f t="shared" ca="1" si="1"/>
        <v>1</v>
      </c>
      <c r="X24" s="5">
        <f t="shared" ca="1" si="1"/>
        <v>1</v>
      </c>
      <c r="Y24" s="5">
        <f t="shared" ca="1" si="1"/>
        <v>0</v>
      </c>
      <c r="Z24" s="5">
        <f t="shared" ca="1" si="1"/>
        <v>0</v>
      </c>
      <c r="AA24" s="5">
        <f t="shared" ca="1" si="1"/>
        <v>1</v>
      </c>
      <c r="AB24" s="5">
        <f t="shared" ca="1" si="1"/>
        <v>1</v>
      </c>
      <c r="AC24" s="5">
        <f t="shared" ca="1" si="1"/>
        <v>1</v>
      </c>
      <c r="AD24" s="5">
        <f t="shared" ca="1" si="1"/>
        <v>0</v>
      </c>
      <c r="AE24" s="5">
        <f t="shared" ca="1" si="1"/>
        <v>0</v>
      </c>
      <c r="AF24" s="5">
        <f t="shared" ca="1" si="1"/>
        <v>0</v>
      </c>
      <c r="AG24" s="5">
        <f t="shared" ca="1" si="1"/>
        <v>1</v>
      </c>
      <c r="AH24" s="5">
        <f t="shared" ca="1" si="1"/>
        <v>1</v>
      </c>
      <c r="AI24" s="5">
        <f t="shared" ca="1" si="1"/>
        <v>0</v>
      </c>
      <c r="AJ24" s="5">
        <f t="shared" ca="1" si="1"/>
        <v>0</v>
      </c>
      <c r="AK24" s="5">
        <f t="shared" ca="1" si="1"/>
        <v>1</v>
      </c>
      <c r="AL24" s="5">
        <f t="shared" ca="1" si="1"/>
        <v>1</v>
      </c>
      <c r="AM24" s="5">
        <f t="shared" ca="1" si="1"/>
        <v>1</v>
      </c>
      <c r="AN24" s="5">
        <f t="shared" ca="1" si="1"/>
        <v>1</v>
      </c>
      <c r="AO24" s="5">
        <f t="shared" ca="1" si="1"/>
        <v>0</v>
      </c>
      <c r="AP24" s="5">
        <f t="shared" ca="1" si="1"/>
        <v>1</v>
      </c>
      <c r="AQ24" s="5">
        <f t="shared" ca="1" si="1"/>
        <v>0</v>
      </c>
      <c r="AR24" s="5">
        <f t="shared" ca="1" si="1"/>
        <v>0</v>
      </c>
      <c r="AS24" s="5">
        <f t="shared" ca="1" si="1"/>
        <v>0</v>
      </c>
      <c r="AT24" s="5">
        <f t="shared" ca="1" si="1"/>
        <v>0</v>
      </c>
      <c r="AU24" s="5">
        <f t="shared" ca="1" si="1"/>
        <v>1</v>
      </c>
      <c r="AV24" s="5">
        <f t="shared" ca="1" si="1"/>
        <v>0</v>
      </c>
      <c r="AW24" s="5">
        <f t="shared" ca="1" si="1"/>
        <v>0</v>
      </c>
      <c r="AX24" s="5">
        <f t="shared" ca="1" si="1"/>
        <v>0</v>
      </c>
      <c r="AY24" s="5">
        <f t="shared" ca="1" si="1"/>
        <v>0</v>
      </c>
      <c r="AZ24" s="5">
        <f t="shared" ca="1" si="1"/>
        <v>0</v>
      </c>
      <c r="BA24" s="5">
        <f t="shared" ca="1" si="1"/>
        <v>0</v>
      </c>
      <c r="BB24" s="5">
        <f t="shared" ca="1" si="1"/>
        <v>0</v>
      </c>
    </row>
    <row r="25" spans="1:66" s="5" customFormat="1" x14ac:dyDescent="0.25">
      <c r="A25" s="31" t="s">
        <v>14</v>
      </c>
      <c r="B25" s="27">
        <f>AVERAGE_ENGAGEMENT</f>
        <v>5</v>
      </c>
      <c r="C25" s="24" t="s">
        <v>15</v>
      </c>
      <c r="D25" s="72"/>
      <c r="E25" s="73"/>
    </row>
    <row r="26" spans="1:66" s="5" customFormat="1" x14ac:dyDescent="0.25">
      <c r="A26" s="31" t="s">
        <v>53</v>
      </c>
      <c r="B26" s="32">
        <f ca="1">SUM(G24:BB24)</f>
        <v>16</v>
      </c>
      <c r="C26" s="24"/>
      <c r="D26" s="72"/>
      <c r="E26" s="73"/>
      <c r="G26" s="15"/>
      <c r="H26" s="15"/>
      <c r="I26" s="15"/>
      <c r="J26" s="15"/>
    </row>
    <row r="27" spans="1:66" s="5" customFormat="1" x14ac:dyDescent="0.25">
      <c r="A27" s="31" t="s">
        <v>64</v>
      </c>
      <c r="B27" s="27"/>
      <c r="C27" s="24"/>
      <c r="D27" s="72"/>
      <c r="E27" s="73"/>
      <c r="G27" s="78">
        <v>0.03</v>
      </c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>
        <v>0.08</v>
      </c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>
        <v>0.06</v>
      </c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>
        <v>0.05</v>
      </c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</row>
    <row r="28" spans="1:66" s="5" customFormat="1" x14ac:dyDescent="0.25">
      <c r="A28" s="31" t="s">
        <v>66</v>
      </c>
      <c r="B28" s="70">
        <f>'Monthly Expenses'!B2 /B29</f>
        <v>2.0833333333333335</v>
      </c>
      <c r="C28" s="24"/>
      <c r="D28" s="72"/>
      <c r="E28" s="73"/>
      <c r="G28" s="78">
        <f>$G$27*$B$28</f>
        <v>6.25E-2</v>
      </c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>
        <f>S27*$B$28</f>
        <v>0.16666666666666669</v>
      </c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>
        <f>AE27*$B$28</f>
        <v>0.125</v>
      </c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>
        <f>AQ27*$B$28</f>
        <v>0.10416666666666669</v>
      </c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</row>
    <row r="29" spans="1:66" s="5" customFormat="1" x14ac:dyDescent="0.25">
      <c r="A29" s="31" t="s">
        <v>67</v>
      </c>
      <c r="B29" s="26">
        <v>1200</v>
      </c>
      <c r="C29" s="24"/>
      <c r="D29" s="72"/>
      <c r="E29" s="73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</row>
    <row r="30" spans="1:66" s="11" customFormat="1" x14ac:dyDescent="0.25">
      <c r="A30" s="33" t="s">
        <v>49</v>
      </c>
      <c r="B30" s="27"/>
      <c r="C30" s="34"/>
      <c r="D30" s="72"/>
      <c r="E30" s="73"/>
      <c r="G30" s="78">
        <f>$G$27*(COMPANY_RATE_MULTIPLIER *10)</f>
        <v>0.625</v>
      </c>
      <c r="H30" s="78"/>
      <c r="I30" s="78"/>
      <c r="J30" s="78"/>
      <c r="K30" s="78">
        <f>$G$27*(COMPANY_RATE_MULTIPLIER *10)</f>
        <v>0.625</v>
      </c>
      <c r="L30" s="78"/>
      <c r="M30" s="78"/>
      <c r="N30" s="78"/>
      <c r="O30" s="78">
        <f>$G$27*(COMPANY_RATE_MULTIPLIER *10)</f>
        <v>0.625</v>
      </c>
      <c r="P30" s="78"/>
      <c r="Q30" s="78"/>
      <c r="R30" s="78"/>
      <c r="S30" s="78">
        <f>$S$27*(COMPANY_RATE_MULTIPLIER *10)</f>
        <v>1.666666666666667</v>
      </c>
      <c r="T30" s="78"/>
      <c r="U30" s="78"/>
      <c r="V30" s="78"/>
      <c r="W30" s="78">
        <f>$S$27*(COMPANY_RATE_MULTIPLIER *10)</f>
        <v>1.666666666666667</v>
      </c>
      <c r="X30" s="78"/>
      <c r="Y30" s="78"/>
      <c r="Z30" s="78"/>
      <c r="AA30" s="78">
        <f>$S$27*(COMPANY_RATE_MULTIPLIER *10)</f>
        <v>1.666666666666667</v>
      </c>
      <c r="AB30" s="78"/>
      <c r="AC30" s="78"/>
      <c r="AD30" s="78"/>
      <c r="AE30" s="78">
        <f>$AE$27*(COMPANY_RATE_MULTIPLIER *10)</f>
        <v>1.25</v>
      </c>
      <c r="AF30" s="78"/>
      <c r="AG30" s="78"/>
      <c r="AH30" s="78"/>
      <c r="AI30" s="78">
        <f>$AE$27*(COMPANY_RATE_MULTIPLIER *10)</f>
        <v>1.25</v>
      </c>
      <c r="AJ30" s="78"/>
      <c r="AK30" s="78"/>
      <c r="AL30" s="78"/>
      <c r="AM30" s="78">
        <f>$AE$27*(COMPANY_RATE_MULTIPLIER *10)</f>
        <v>1.25</v>
      </c>
      <c r="AN30" s="78"/>
      <c r="AO30" s="78"/>
      <c r="AP30" s="78"/>
      <c r="AQ30" s="78">
        <f>$AQ$27*(COMPANY_RATE_MULTIPLIER *10)</f>
        <v>1.0416666666666667</v>
      </c>
      <c r="AR30" s="78"/>
      <c r="AS30" s="78"/>
      <c r="AT30" s="78"/>
      <c r="AU30" s="78">
        <f>$AQ$27*(COMPANY_RATE_MULTIPLIER *10)</f>
        <v>1.0416666666666667</v>
      </c>
      <c r="AV30" s="78"/>
      <c r="AW30" s="78"/>
      <c r="AX30" s="78"/>
      <c r="AY30" s="78">
        <f>$AQ$27*(COMPANY_RATE_MULTIPLIER *10)</f>
        <v>1.0416666666666667</v>
      </c>
      <c r="AZ30" s="78"/>
      <c r="BA30" s="78"/>
      <c r="BB30" s="78"/>
    </row>
    <row r="31" spans="1:66" s="5" customFormat="1" x14ac:dyDescent="0.25">
      <c r="B31" s="27"/>
      <c r="C31" s="24"/>
      <c r="D31" s="31" t="s">
        <v>62</v>
      </c>
      <c r="E31" s="61"/>
      <c r="G31" s="13">
        <f>COLUMN()</f>
        <v>7</v>
      </c>
      <c r="H31" s="13">
        <f>COLUMN()</f>
        <v>8</v>
      </c>
      <c r="I31" s="13">
        <f>COLUMN()</f>
        <v>9</v>
      </c>
      <c r="J31" s="13">
        <f>COLUMN()</f>
        <v>10</v>
      </c>
      <c r="K31" s="13">
        <f>COLUMN()</f>
        <v>11</v>
      </c>
      <c r="L31" s="13">
        <f>COLUMN()</f>
        <v>12</v>
      </c>
      <c r="M31" s="13">
        <f>COLUMN()</f>
        <v>13</v>
      </c>
      <c r="N31" s="13">
        <f>COLUMN()</f>
        <v>14</v>
      </c>
      <c r="O31" s="13">
        <f>COLUMN()</f>
        <v>15</v>
      </c>
      <c r="P31" s="13">
        <f>COLUMN()</f>
        <v>16</v>
      </c>
      <c r="Q31" s="13">
        <f>COLUMN()</f>
        <v>17</v>
      </c>
      <c r="R31" s="13">
        <f>COLUMN()</f>
        <v>18</v>
      </c>
      <c r="S31" s="13">
        <f>COLUMN()</f>
        <v>19</v>
      </c>
      <c r="T31" s="13">
        <f>COLUMN()</f>
        <v>20</v>
      </c>
      <c r="U31" s="13">
        <f>COLUMN()</f>
        <v>21</v>
      </c>
      <c r="V31" s="13">
        <f>COLUMN()</f>
        <v>22</v>
      </c>
      <c r="W31" s="13">
        <f>COLUMN()</f>
        <v>23</v>
      </c>
      <c r="X31" s="13">
        <f>COLUMN()</f>
        <v>24</v>
      </c>
      <c r="Y31" s="13">
        <f>COLUMN()</f>
        <v>25</v>
      </c>
      <c r="Z31" s="13">
        <f>COLUMN()</f>
        <v>26</v>
      </c>
      <c r="AA31" s="13">
        <f>COLUMN()</f>
        <v>27</v>
      </c>
      <c r="AB31" s="13">
        <f>COLUMN()</f>
        <v>28</v>
      </c>
      <c r="AC31" s="13">
        <f>COLUMN()</f>
        <v>29</v>
      </c>
      <c r="AD31" s="13">
        <f>COLUMN()</f>
        <v>30</v>
      </c>
      <c r="AE31" s="13">
        <f>COLUMN()</f>
        <v>31</v>
      </c>
      <c r="AF31" s="13">
        <f>COLUMN()</f>
        <v>32</v>
      </c>
      <c r="AG31" s="13">
        <f>COLUMN()</f>
        <v>33</v>
      </c>
      <c r="AH31" s="13">
        <f>COLUMN()</f>
        <v>34</v>
      </c>
      <c r="AI31" s="13">
        <f>COLUMN()</f>
        <v>35</v>
      </c>
      <c r="AJ31" s="13">
        <f>COLUMN()</f>
        <v>36</v>
      </c>
      <c r="AK31" s="13">
        <f>COLUMN()</f>
        <v>37</v>
      </c>
      <c r="AL31" s="13">
        <f>COLUMN()</f>
        <v>38</v>
      </c>
      <c r="AM31" s="13">
        <f>COLUMN()</f>
        <v>39</v>
      </c>
      <c r="AN31" s="13">
        <f>COLUMN()</f>
        <v>40</v>
      </c>
      <c r="AO31" s="13">
        <f>COLUMN()</f>
        <v>41</v>
      </c>
      <c r="AP31" s="13">
        <f>COLUMN()</f>
        <v>42</v>
      </c>
      <c r="AQ31" s="13">
        <f>COLUMN()</f>
        <v>43</v>
      </c>
      <c r="AR31" s="13">
        <f>COLUMN()</f>
        <v>44</v>
      </c>
      <c r="AS31" s="13">
        <f>COLUMN()</f>
        <v>45</v>
      </c>
      <c r="AT31" s="13">
        <f>COLUMN()</f>
        <v>46</v>
      </c>
      <c r="AU31" s="13">
        <f>COLUMN()</f>
        <v>47</v>
      </c>
      <c r="AV31" s="13">
        <f>COLUMN()</f>
        <v>48</v>
      </c>
      <c r="AW31" s="13">
        <f>COLUMN()</f>
        <v>49</v>
      </c>
      <c r="AX31" s="13">
        <f>COLUMN()</f>
        <v>50</v>
      </c>
      <c r="AY31" s="13">
        <f>COLUMN()</f>
        <v>51</v>
      </c>
      <c r="AZ31" s="13">
        <f>COLUMN()</f>
        <v>52</v>
      </c>
      <c r="BA31" s="13">
        <f>COLUMN()</f>
        <v>53</v>
      </c>
      <c r="BB31" s="13">
        <f>COLUMN()</f>
        <v>54</v>
      </c>
    </row>
    <row r="32" spans="1:66" s="5" customFormat="1" x14ac:dyDescent="0.25">
      <c r="B32" s="27"/>
      <c r="C32" s="24"/>
      <c r="D32" s="31" t="s">
        <v>43</v>
      </c>
      <c r="E32" s="61"/>
      <c r="G32" s="13">
        <f>MOD(G31 -6, 4)</f>
        <v>1</v>
      </c>
      <c r="H32" s="13">
        <f t="shared" ref="H32:BB32" si="2">MOD(H31 -7, 4)</f>
        <v>1</v>
      </c>
      <c r="I32" s="13">
        <f t="shared" si="2"/>
        <v>2</v>
      </c>
      <c r="J32" s="13">
        <f t="shared" si="2"/>
        <v>3</v>
      </c>
      <c r="K32" s="13">
        <f t="shared" si="2"/>
        <v>0</v>
      </c>
      <c r="L32" s="13">
        <f t="shared" si="2"/>
        <v>1</v>
      </c>
      <c r="M32" s="13">
        <f t="shared" si="2"/>
        <v>2</v>
      </c>
      <c r="N32" s="13">
        <f t="shared" si="2"/>
        <v>3</v>
      </c>
      <c r="O32" s="13">
        <f t="shared" si="2"/>
        <v>0</v>
      </c>
      <c r="P32" s="13">
        <f t="shared" si="2"/>
        <v>1</v>
      </c>
      <c r="Q32" s="13">
        <f t="shared" si="2"/>
        <v>2</v>
      </c>
      <c r="R32" s="13">
        <f t="shared" si="2"/>
        <v>3</v>
      </c>
      <c r="S32" s="13">
        <f t="shared" si="2"/>
        <v>0</v>
      </c>
      <c r="T32" s="13">
        <f t="shared" si="2"/>
        <v>1</v>
      </c>
      <c r="U32" s="13">
        <f t="shared" si="2"/>
        <v>2</v>
      </c>
      <c r="V32" s="13">
        <f t="shared" si="2"/>
        <v>3</v>
      </c>
      <c r="W32" s="13">
        <f t="shared" si="2"/>
        <v>0</v>
      </c>
      <c r="X32" s="13">
        <f t="shared" si="2"/>
        <v>1</v>
      </c>
      <c r="Y32" s="13">
        <f t="shared" si="2"/>
        <v>2</v>
      </c>
      <c r="Z32" s="13">
        <f t="shared" si="2"/>
        <v>3</v>
      </c>
      <c r="AA32" s="13">
        <f t="shared" si="2"/>
        <v>0</v>
      </c>
      <c r="AB32" s="13">
        <f t="shared" si="2"/>
        <v>1</v>
      </c>
      <c r="AC32" s="13">
        <f t="shared" si="2"/>
        <v>2</v>
      </c>
      <c r="AD32" s="13">
        <f t="shared" si="2"/>
        <v>3</v>
      </c>
      <c r="AE32" s="13">
        <f t="shared" si="2"/>
        <v>0</v>
      </c>
      <c r="AF32" s="13">
        <f t="shared" si="2"/>
        <v>1</v>
      </c>
      <c r="AG32" s="13">
        <f t="shared" si="2"/>
        <v>2</v>
      </c>
      <c r="AH32" s="13">
        <f t="shared" si="2"/>
        <v>3</v>
      </c>
      <c r="AI32" s="13">
        <f t="shared" si="2"/>
        <v>0</v>
      </c>
      <c r="AJ32" s="13">
        <f t="shared" si="2"/>
        <v>1</v>
      </c>
      <c r="AK32" s="13">
        <f t="shared" si="2"/>
        <v>2</v>
      </c>
      <c r="AL32" s="13">
        <f t="shared" si="2"/>
        <v>3</v>
      </c>
      <c r="AM32" s="13">
        <f t="shared" si="2"/>
        <v>0</v>
      </c>
      <c r="AN32" s="13">
        <f t="shared" si="2"/>
        <v>1</v>
      </c>
      <c r="AO32" s="13">
        <f t="shared" si="2"/>
        <v>2</v>
      </c>
      <c r="AP32" s="13">
        <f t="shared" si="2"/>
        <v>3</v>
      </c>
      <c r="AQ32" s="13">
        <f t="shared" si="2"/>
        <v>0</v>
      </c>
      <c r="AR32" s="13">
        <f t="shared" si="2"/>
        <v>1</v>
      </c>
      <c r="AS32" s="13">
        <f t="shared" si="2"/>
        <v>2</v>
      </c>
      <c r="AT32" s="13">
        <f t="shared" si="2"/>
        <v>3</v>
      </c>
      <c r="AU32" s="13">
        <f t="shared" si="2"/>
        <v>0</v>
      </c>
      <c r="AV32" s="13">
        <f t="shared" si="2"/>
        <v>1</v>
      </c>
      <c r="AW32" s="13">
        <f t="shared" si="2"/>
        <v>2</v>
      </c>
      <c r="AX32" s="13">
        <f t="shared" si="2"/>
        <v>3</v>
      </c>
      <c r="AY32" s="13">
        <f t="shared" si="2"/>
        <v>0</v>
      </c>
      <c r="AZ32" s="13">
        <f t="shared" si="2"/>
        <v>1</v>
      </c>
      <c r="BA32" s="13">
        <f t="shared" si="2"/>
        <v>2</v>
      </c>
      <c r="BB32" s="13">
        <f t="shared" si="2"/>
        <v>3</v>
      </c>
    </row>
    <row r="33" spans="1:54" s="11" customFormat="1" x14ac:dyDescent="0.25">
      <c r="B33" s="27"/>
      <c r="C33" s="34"/>
      <c r="D33" s="33" t="s">
        <v>50</v>
      </c>
      <c r="E33" s="61"/>
      <c r="G33" s="16">
        <f ca="1">INDIRECT(ADDRESS(ROW(G30), G31 -G32))</f>
        <v>0</v>
      </c>
      <c r="H33" s="16">
        <f t="shared" ref="H33:BB33" ca="1" si="3">INDIRECT(ADDRESS(ROW(H30), H31 -H32))</f>
        <v>0.625</v>
      </c>
      <c r="I33" s="16">
        <f t="shared" ca="1" si="3"/>
        <v>0.625</v>
      </c>
      <c r="J33" s="16">
        <f t="shared" ca="1" si="3"/>
        <v>0.625</v>
      </c>
      <c r="K33" s="16">
        <f t="shared" ca="1" si="3"/>
        <v>0.625</v>
      </c>
      <c r="L33" s="16">
        <f t="shared" ca="1" si="3"/>
        <v>0.625</v>
      </c>
      <c r="M33" s="16">
        <f t="shared" ca="1" si="3"/>
        <v>0.625</v>
      </c>
      <c r="N33" s="16">
        <f t="shared" ca="1" si="3"/>
        <v>0.625</v>
      </c>
      <c r="O33" s="16">
        <f t="shared" ca="1" si="3"/>
        <v>0.625</v>
      </c>
      <c r="P33" s="16">
        <f ca="1">INDIRECT(ADDRESS(ROW(P30), P31 -P32))</f>
        <v>0.625</v>
      </c>
      <c r="Q33" s="16">
        <f t="shared" ca="1" si="3"/>
        <v>0.625</v>
      </c>
      <c r="R33" s="16">
        <f t="shared" ca="1" si="3"/>
        <v>0.625</v>
      </c>
      <c r="S33" s="16">
        <f t="shared" ca="1" si="3"/>
        <v>1.666666666666667</v>
      </c>
      <c r="T33" s="16">
        <f t="shared" ca="1" si="3"/>
        <v>1.666666666666667</v>
      </c>
      <c r="U33" s="16">
        <f t="shared" ca="1" si="3"/>
        <v>1.666666666666667</v>
      </c>
      <c r="V33" s="16">
        <f t="shared" ca="1" si="3"/>
        <v>1.666666666666667</v>
      </c>
      <c r="W33" s="16">
        <f t="shared" ca="1" si="3"/>
        <v>1.666666666666667</v>
      </c>
      <c r="X33" s="16">
        <f t="shared" ca="1" si="3"/>
        <v>1.666666666666667</v>
      </c>
      <c r="Y33" s="16">
        <f t="shared" ca="1" si="3"/>
        <v>1.666666666666667</v>
      </c>
      <c r="Z33" s="16">
        <f t="shared" ca="1" si="3"/>
        <v>1.666666666666667</v>
      </c>
      <c r="AA33" s="16">
        <f t="shared" ca="1" si="3"/>
        <v>1.666666666666667</v>
      </c>
      <c r="AB33" s="16">
        <f t="shared" ca="1" si="3"/>
        <v>1.666666666666667</v>
      </c>
      <c r="AC33" s="16">
        <f t="shared" ca="1" si="3"/>
        <v>1.666666666666667</v>
      </c>
      <c r="AD33" s="16">
        <f t="shared" ca="1" si="3"/>
        <v>1.666666666666667</v>
      </c>
      <c r="AE33" s="16">
        <f t="shared" ca="1" si="3"/>
        <v>1.25</v>
      </c>
      <c r="AF33" s="16">
        <f t="shared" ca="1" si="3"/>
        <v>1.25</v>
      </c>
      <c r="AG33" s="16">
        <f t="shared" ca="1" si="3"/>
        <v>1.25</v>
      </c>
      <c r="AH33" s="16">
        <f t="shared" ca="1" si="3"/>
        <v>1.25</v>
      </c>
      <c r="AI33" s="16">
        <f t="shared" ca="1" si="3"/>
        <v>1.25</v>
      </c>
      <c r="AJ33" s="16">
        <f t="shared" ca="1" si="3"/>
        <v>1.25</v>
      </c>
      <c r="AK33" s="16">
        <f t="shared" ca="1" si="3"/>
        <v>1.25</v>
      </c>
      <c r="AL33" s="16">
        <f t="shared" ca="1" si="3"/>
        <v>1.25</v>
      </c>
      <c r="AM33" s="16">
        <f t="shared" ca="1" si="3"/>
        <v>1.25</v>
      </c>
      <c r="AN33" s="16">
        <f t="shared" ca="1" si="3"/>
        <v>1.25</v>
      </c>
      <c r="AO33" s="16">
        <f t="shared" ca="1" si="3"/>
        <v>1.25</v>
      </c>
      <c r="AP33" s="16">
        <f t="shared" ca="1" si="3"/>
        <v>1.25</v>
      </c>
      <c r="AQ33" s="16">
        <f t="shared" ca="1" si="3"/>
        <v>1.0416666666666667</v>
      </c>
      <c r="AR33" s="16">
        <f t="shared" ca="1" si="3"/>
        <v>1.0416666666666667</v>
      </c>
      <c r="AS33" s="16">
        <f t="shared" ca="1" si="3"/>
        <v>1.0416666666666667</v>
      </c>
      <c r="AT33" s="16">
        <f t="shared" ca="1" si="3"/>
        <v>1.0416666666666667</v>
      </c>
      <c r="AU33" s="16">
        <f t="shared" ca="1" si="3"/>
        <v>1.0416666666666667</v>
      </c>
      <c r="AV33" s="16">
        <f t="shared" ca="1" si="3"/>
        <v>1.0416666666666667</v>
      </c>
      <c r="AW33" s="16">
        <f t="shared" ca="1" si="3"/>
        <v>1.0416666666666667</v>
      </c>
      <c r="AX33" s="16">
        <f t="shared" ca="1" si="3"/>
        <v>1.0416666666666667</v>
      </c>
      <c r="AY33" s="16">
        <f t="shared" ca="1" si="3"/>
        <v>1.0416666666666667</v>
      </c>
      <c r="AZ33" s="16">
        <f t="shared" ca="1" si="3"/>
        <v>1.0416666666666667</v>
      </c>
      <c r="BA33" s="16">
        <f t="shared" ca="1" si="3"/>
        <v>1.0416666666666667</v>
      </c>
      <c r="BB33" s="16">
        <f t="shared" ca="1" si="3"/>
        <v>1.0416666666666667</v>
      </c>
    </row>
    <row r="34" spans="1:54" s="11" customFormat="1" x14ac:dyDescent="0.25">
      <c r="A34" s="33" t="s">
        <v>48</v>
      </c>
      <c r="B34" s="27">
        <v>20</v>
      </c>
      <c r="C34" s="34"/>
      <c r="D34" s="72"/>
      <c r="E34" s="73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s="11" customFormat="1" x14ac:dyDescent="0.25">
      <c r="A35" s="33" t="s">
        <v>47</v>
      </c>
      <c r="B35" s="27">
        <v>80</v>
      </c>
      <c r="C35" s="34"/>
      <c r="D35" s="72"/>
      <c r="E35" s="73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s="3" customFormat="1" x14ac:dyDescent="0.25">
      <c r="A36" s="31" t="s">
        <v>104</v>
      </c>
      <c r="B36" s="55">
        <f ca="1">AVERAGE(G38:BB38)</f>
        <v>2</v>
      </c>
      <c r="C36" s="36"/>
      <c r="D36" s="72" t="s">
        <v>46</v>
      </c>
      <c r="E36" s="73"/>
      <c r="G36" s="4">
        <f ca="1">RANDBETWEEN(RANDOMIZE_LOWER, RANDOMIZE_UPPER) / 100</f>
        <v>0.36</v>
      </c>
      <c r="H36" s="4">
        <f t="shared" ref="H36:BB36" ca="1" si="4">RANDBETWEEN(RANDOMIZE_LOWER, RANDOMIZE_UPPER) / 100</f>
        <v>0.3</v>
      </c>
      <c r="I36" s="4">
        <f t="shared" ca="1" si="4"/>
        <v>0.56999999999999995</v>
      </c>
      <c r="J36" s="4">
        <f t="shared" ca="1" si="4"/>
        <v>0.57999999999999996</v>
      </c>
      <c r="K36" s="4">
        <f t="shared" ca="1" si="4"/>
        <v>0.65</v>
      </c>
      <c r="L36" s="4">
        <f t="shared" ca="1" si="4"/>
        <v>0.25</v>
      </c>
      <c r="M36" s="4">
        <f t="shared" ca="1" si="4"/>
        <v>0.67</v>
      </c>
      <c r="N36" s="4">
        <f t="shared" ca="1" si="4"/>
        <v>0.26</v>
      </c>
      <c r="O36" s="4">
        <f t="shared" ca="1" si="4"/>
        <v>0.74</v>
      </c>
      <c r="P36" s="4">
        <f t="shared" ca="1" si="4"/>
        <v>0.28999999999999998</v>
      </c>
      <c r="Q36" s="4">
        <f t="shared" ca="1" si="4"/>
        <v>0.56999999999999995</v>
      </c>
      <c r="R36" s="4">
        <f t="shared" ca="1" si="4"/>
        <v>0.3</v>
      </c>
      <c r="S36" s="4">
        <f t="shared" ca="1" si="4"/>
        <v>0.3</v>
      </c>
      <c r="T36" s="4">
        <f t="shared" ca="1" si="4"/>
        <v>0.52</v>
      </c>
      <c r="U36" s="4">
        <f t="shared" ca="1" si="4"/>
        <v>0.47</v>
      </c>
      <c r="V36" s="4">
        <f t="shared" ca="1" si="4"/>
        <v>0.69</v>
      </c>
      <c r="W36" s="4">
        <f t="shared" ca="1" si="4"/>
        <v>0.41</v>
      </c>
      <c r="X36" s="4">
        <f t="shared" ca="1" si="4"/>
        <v>0.5</v>
      </c>
      <c r="Y36" s="4">
        <f t="shared" ca="1" si="4"/>
        <v>0.34</v>
      </c>
      <c r="Z36" s="4">
        <f t="shared" ca="1" si="4"/>
        <v>0.38</v>
      </c>
      <c r="AA36" s="4">
        <f t="shared" ca="1" si="4"/>
        <v>0.64</v>
      </c>
      <c r="AB36" s="4">
        <f t="shared" ca="1" si="4"/>
        <v>0.47</v>
      </c>
      <c r="AC36" s="4">
        <f t="shared" ca="1" si="4"/>
        <v>0.67</v>
      </c>
      <c r="AD36" s="4">
        <f t="shared" ca="1" si="4"/>
        <v>0.31</v>
      </c>
      <c r="AE36" s="4">
        <f t="shared" ca="1" si="4"/>
        <v>0.3</v>
      </c>
      <c r="AF36" s="4">
        <f t="shared" ca="1" si="4"/>
        <v>0.39</v>
      </c>
      <c r="AG36" s="4">
        <f t="shared" ca="1" si="4"/>
        <v>0.56999999999999995</v>
      </c>
      <c r="AH36" s="4">
        <f t="shared" ca="1" si="4"/>
        <v>0.56999999999999995</v>
      </c>
      <c r="AI36" s="4">
        <f t="shared" ca="1" si="4"/>
        <v>0.32</v>
      </c>
      <c r="AJ36" s="4">
        <f t="shared" ca="1" si="4"/>
        <v>0.55000000000000004</v>
      </c>
      <c r="AK36" s="4">
        <f t="shared" ca="1" si="4"/>
        <v>0.73</v>
      </c>
      <c r="AL36" s="4">
        <f t="shared" ca="1" si="4"/>
        <v>0.64</v>
      </c>
      <c r="AM36" s="4">
        <f t="shared" ca="1" si="4"/>
        <v>0.79</v>
      </c>
      <c r="AN36" s="4">
        <f t="shared" ca="1" si="4"/>
        <v>0.72</v>
      </c>
      <c r="AO36" s="4">
        <f t="shared" ca="1" si="4"/>
        <v>0.26</v>
      </c>
      <c r="AP36" s="4">
        <f t="shared" ca="1" si="4"/>
        <v>0.65</v>
      </c>
      <c r="AQ36" s="4">
        <f t="shared" ca="1" si="4"/>
        <v>0.6</v>
      </c>
      <c r="AR36" s="4">
        <f t="shared" ca="1" si="4"/>
        <v>0.49</v>
      </c>
      <c r="AS36" s="4">
        <f t="shared" ca="1" si="4"/>
        <v>0.24</v>
      </c>
      <c r="AT36" s="4">
        <f t="shared" ca="1" si="4"/>
        <v>0.49</v>
      </c>
      <c r="AU36" s="4">
        <f t="shared" ca="1" si="4"/>
        <v>0.74</v>
      </c>
      <c r="AV36" s="4">
        <f t="shared" ca="1" si="4"/>
        <v>0.21</v>
      </c>
      <c r="AW36" s="4">
        <f t="shared" ca="1" si="4"/>
        <v>0.4</v>
      </c>
      <c r="AX36" s="4">
        <f t="shared" ca="1" si="4"/>
        <v>0.5</v>
      </c>
      <c r="AY36" s="4">
        <f t="shared" ca="1" si="4"/>
        <v>0.54</v>
      </c>
      <c r="AZ36" s="4">
        <f t="shared" ca="1" si="4"/>
        <v>0.56000000000000005</v>
      </c>
      <c r="BA36" s="4">
        <f t="shared" ca="1" si="4"/>
        <v>0.45</v>
      </c>
      <c r="BB36" s="4">
        <f t="shared" ca="1" si="4"/>
        <v>0.26</v>
      </c>
    </row>
    <row r="37" spans="1:54" s="5" customFormat="1" x14ac:dyDescent="0.25">
      <c r="A37" s="31"/>
      <c r="B37" s="27"/>
      <c r="C37" s="24"/>
      <c r="D37" s="72" t="s">
        <v>45</v>
      </c>
      <c r="E37" s="73"/>
      <c r="G37" s="13">
        <f t="shared" ref="G37:BB37" ca="1" si="5">INDIRECT(ADDRESS(ROW(G23), G31 -G32))*G36</f>
        <v>0</v>
      </c>
      <c r="H37" s="13">
        <f t="shared" ca="1" si="5"/>
        <v>0.75</v>
      </c>
      <c r="I37" s="13">
        <f t="shared" ca="1" si="5"/>
        <v>1.4249999999999998</v>
      </c>
      <c r="J37" s="13">
        <f t="shared" ca="1" si="5"/>
        <v>1.45</v>
      </c>
      <c r="K37" s="13">
        <f t="shared" ca="1" si="5"/>
        <v>1.625</v>
      </c>
      <c r="L37" s="13">
        <f t="shared" ca="1" si="5"/>
        <v>0.625</v>
      </c>
      <c r="M37" s="13">
        <f t="shared" ca="1" si="5"/>
        <v>1.675</v>
      </c>
      <c r="N37" s="13">
        <f t="shared" ca="1" si="5"/>
        <v>0.65</v>
      </c>
      <c r="O37" s="13">
        <f t="shared" ca="1" si="5"/>
        <v>1.85</v>
      </c>
      <c r="P37" s="13">
        <f t="shared" ca="1" si="5"/>
        <v>0.72499999999999998</v>
      </c>
      <c r="Q37" s="13">
        <f t="shared" ca="1" si="5"/>
        <v>1.4249999999999998</v>
      </c>
      <c r="R37" s="13">
        <f t="shared" ca="1" si="5"/>
        <v>0.75</v>
      </c>
      <c r="S37" s="13">
        <f t="shared" ca="1" si="5"/>
        <v>2.0000000000000004</v>
      </c>
      <c r="T37" s="13">
        <f t="shared" ca="1" si="5"/>
        <v>3.4666666666666672</v>
      </c>
      <c r="U37" s="13">
        <f t="shared" ca="1" si="5"/>
        <v>3.1333333333333337</v>
      </c>
      <c r="V37" s="13">
        <f t="shared" ca="1" si="5"/>
        <v>4.6000000000000005</v>
      </c>
      <c r="W37" s="13">
        <f t="shared" ca="1" si="5"/>
        <v>2.8699999999999997</v>
      </c>
      <c r="X37" s="13">
        <f t="shared" ca="1" si="5"/>
        <v>3.5</v>
      </c>
      <c r="Y37" s="13">
        <f t="shared" ca="1" si="5"/>
        <v>2.3800000000000003</v>
      </c>
      <c r="Z37" s="13">
        <f t="shared" ca="1" si="5"/>
        <v>2.66</v>
      </c>
      <c r="AA37" s="13">
        <f t="shared" ca="1" si="5"/>
        <v>4.4800000000000004</v>
      </c>
      <c r="AB37" s="13">
        <f t="shared" ca="1" si="5"/>
        <v>3.29</v>
      </c>
      <c r="AC37" s="13">
        <f t="shared" ca="1" si="5"/>
        <v>4.6900000000000004</v>
      </c>
      <c r="AD37" s="13">
        <f t="shared" ca="1" si="5"/>
        <v>2.17</v>
      </c>
      <c r="AE37" s="13">
        <f t="shared" ca="1" si="5"/>
        <v>1.5</v>
      </c>
      <c r="AF37" s="13">
        <f t="shared" ca="1" si="5"/>
        <v>1.9500000000000002</v>
      </c>
      <c r="AG37" s="13">
        <f t="shared" ca="1" si="5"/>
        <v>2.8499999999999996</v>
      </c>
      <c r="AH37" s="13">
        <f t="shared" ca="1" si="5"/>
        <v>2.8499999999999996</v>
      </c>
      <c r="AI37" s="13">
        <f t="shared" ca="1" si="5"/>
        <v>1.6</v>
      </c>
      <c r="AJ37" s="13">
        <f t="shared" ca="1" si="5"/>
        <v>2.75</v>
      </c>
      <c r="AK37" s="13">
        <f t="shared" ca="1" si="5"/>
        <v>3.65</v>
      </c>
      <c r="AL37" s="13">
        <f t="shared" ca="1" si="5"/>
        <v>3.2</v>
      </c>
      <c r="AM37" s="13">
        <f t="shared" ca="1" si="5"/>
        <v>3.95</v>
      </c>
      <c r="AN37" s="13">
        <f t="shared" ca="1" si="5"/>
        <v>3.5999999999999996</v>
      </c>
      <c r="AO37" s="13">
        <f t="shared" ca="1" si="5"/>
        <v>1.3</v>
      </c>
      <c r="AP37" s="13">
        <f t="shared" ca="1" si="5"/>
        <v>3.25</v>
      </c>
      <c r="AQ37" s="13">
        <f t="shared" ca="1" si="5"/>
        <v>2.4</v>
      </c>
      <c r="AR37" s="13">
        <f t="shared" ca="1" si="5"/>
        <v>1.96</v>
      </c>
      <c r="AS37" s="13">
        <f t="shared" ca="1" si="5"/>
        <v>0.96</v>
      </c>
      <c r="AT37" s="13">
        <f t="shared" ca="1" si="5"/>
        <v>1.96</v>
      </c>
      <c r="AU37" s="13">
        <f t="shared" ca="1" si="5"/>
        <v>2.96</v>
      </c>
      <c r="AV37" s="13">
        <f t="shared" ca="1" si="5"/>
        <v>0.84</v>
      </c>
      <c r="AW37" s="13">
        <f t="shared" ca="1" si="5"/>
        <v>1.6</v>
      </c>
      <c r="AX37" s="13">
        <f t="shared" ca="1" si="5"/>
        <v>2</v>
      </c>
      <c r="AY37" s="13">
        <f t="shared" ca="1" si="5"/>
        <v>2.16</v>
      </c>
      <c r="AZ37" s="13">
        <f t="shared" ca="1" si="5"/>
        <v>2.2400000000000002</v>
      </c>
      <c r="BA37" s="13">
        <f t="shared" ca="1" si="5"/>
        <v>1.8</v>
      </c>
      <c r="BB37" s="13">
        <f t="shared" ca="1" si="5"/>
        <v>1.04</v>
      </c>
    </row>
    <row r="38" spans="1:54" s="5" customFormat="1" x14ac:dyDescent="0.25">
      <c r="A38" s="31"/>
      <c r="B38" s="32"/>
      <c r="C38" s="24"/>
      <c r="D38" s="72" t="s">
        <v>51</v>
      </c>
      <c r="E38" s="73"/>
      <c r="G38" s="13">
        <f ca="1">SUM(G24:OFFSET(G24,0,-MIN(AVERAGE_ENGAGEMENT, COLUMN() - COLUMN(LEFTMOST_CELL))))</f>
        <v>0</v>
      </c>
      <c r="H38" s="14">
        <f ca="1">SUM(H24:OFFSET(H24,0,-MIN(AVERAGE_ENGAGEMENT, COLUMN() - COLUMN(LEFTMOST_CELL))))</f>
        <v>0</v>
      </c>
      <c r="I38" s="14">
        <f ca="1">SUM(I24:OFFSET(I24,0,-MIN(AVERAGE_ENGAGEMENT, COLUMN() - COLUMN(LEFTMOST_CELL))))</f>
        <v>0</v>
      </c>
      <c r="J38" s="14">
        <f ca="1">SUM(J24:OFFSET(J24,0,-MIN(AVERAGE_ENGAGEMENT, COLUMN() - COLUMN(LEFTMOST_CELL))))</f>
        <v>0</v>
      </c>
      <c r="K38" s="14">
        <f ca="1">SUM(K24:OFFSET(K24,0,-MIN(AVERAGE_ENGAGEMENT, COLUMN() - COLUMN(LEFTMOST_CELL))))</f>
        <v>0</v>
      </c>
      <c r="L38" s="14">
        <f ca="1">SUM(L24:OFFSET(L24,0,-MIN(AVERAGE_ENGAGEMENT, COLUMN() - COLUMN(LEFTMOST_CELL))))</f>
        <v>0</v>
      </c>
      <c r="M38" s="14">
        <f ca="1">SUM(M24:OFFSET(M24,0,-MIN(AVERAGE_ENGAGEMENT, COLUMN() - COLUMN(LEFTMOST_CELL))))</f>
        <v>0</v>
      </c>
      <c r="N38" s="14">
        <f ca="1">SUM(N24:OFFSET(N24,0,-MIN(AVERAGE_ENGAGEMENT, COLUMN() - COLUMN(LEFTMOST_CELL))))</f>
        <v>0</v>
      </c>
      <c r="O38" s="14">
        <f ca="1">SUM(O24:OFFSET(O24,0,-MIN(AVERAGE_ENGAGEMENT, COLUMN() - COLUMN(LEFTMOST_CELL))))</f>
        <v>0</v>
      </c>
      <c r="P38" s="14">
        <f ca="1">SUM(P24:OFFSET(P24,0,-MIN(AVERAGE_ENGAGEMENT, COLUMN() - COLUMN(LEFTMOST_CELL))))</f>
        <v>0</v>
      </c>
      <c r="Q38" s="14">
        <f ca="1">SUM(Q24:OFFSET(Q24,0,-MIN(AVERAGE_ENGAGEMENT, COLUMN() - COLUMN(LEFTMOST_CELL))))</f>
        <v>0</v>
      </c>
      <c r="R38" s="14">
        <f ca="1">SUM(R24:OFFSET(R24,0,-MIN(AVERAGE_ENGAGEMENT, COLUMN() - COLUMN(LEFTMOST_CELL))))</f>
        <v>0</v>
      </c>
      <c r="S38" s="14">
        <f ca="1">SUM(S24:OFFSET(S24,0,-MIN(AVERAGE_ENGAGEMENT, COLUMN() - COLUMN(LEFTMOST_CELL))))</f>
        <v>0</v>
      </c>
      <c r="T38" s="14">
        <f ca="1">SUM(T24:OFFSET(T24,0,-MIN(AVERAGE_ENGAGEMENT, COLUMN() - COLUMN(LEFTMOST_CELL))))</f>
        <v>1</v>
      </c>
      <c r="U38" s="14">
        <f ca="1">SUM(U24:OFFSET(U24,0,-MIN(AVERAGE_ENGAGEMENT, COLUMN() - COLUMN(LEFTMOST_CELL))))</f>
        <v>2</v>
      </c>
      <c r="V38" s="14">
        <f ca="1">SUM(V24:OFFSET(V24,0,-MIN(AVERAGE_ENGAGEMENT, COLUMN() - COLUMN(LEFTMOST_CELL))))</f>
        <v>3</v>
      </c>
      <c r="W38" s="14">
        <f ca="1">SUM(W24:OFFSET(W24,0,-MIN(AVERAGE_ENGAGEMENT, COLUMN() - COLUMN(LEFTMOST_CELL))))</f>
        <v>4</v>
      </c>
      <c r="X38" s="14">
        <f ca="1">SUM(X24:OFFSET(X24,0,-MIN(AVERAGE_ENGAGEMENT, COLUMN() - COLUMN(LEFTMOST_CELL))))</f>
        <v>5</v>
      </c>
      <c r="Y38" s="14">
        <f ca="1">SUM(Y24:OFFSET(Y24,0,-MIN(AVERAGE_ENGAGEMENT, COLUMN() - COLUMN(LEFTMOST_CELL))))</f>
        <v>5</v>
      </c>
      <c r="Z38" s="14">
        <f ca="1">SUM(Z24:OFFSET(Z24,0,-MIN(AVERAGE_ENGAGEMENT, COLUMN() - COLUMN(LEFTMOST_CELL))))</f>
        <v>4</v>
      </c>
      <c r="AA38" s="14">
        <f ca="1">SUM(AA24:OFFSET(AA24,0,-MIN(AVERAGE_ENGAGEMENT, COLUMN() - COLUMN(LEFTMOST_CELL))))</f>
        <v>4</v>
      </c>
      <c r="AB38" s="14">
        <f ca="1">SUM(AB24:OFFSET(AB24,0,-MIN(AVERAGE_ENGAGEMENT, COLUMN() - COLUMN(LEFTMOST_CELL))))</f>
        <v>4</v>
      </c>
      <c r="AC38" s="14">
        <f ca="1">SUM(AC24:OFFSET(AC24,0,-MIN(AVERAGE_ENGAGEMENT, COLUMN() - COLUMN(LEFTMOST_CELL))))</f>
        <v>4</v>
      </c>
      <c r="AD38" s="14">
        <f ca="1">SUM(AD24:OFFSET(AD24,0,-MIN(AVERAGE_ENGAGEMENT, COLUMN() - COLUMN(LEFTMOST_CELL))))</f>
        <v>3</v>
      </c>
      <c r="AE38" s="14">
        <f ca="1">SUM(AE24:OFFSET(AE24,0,-MIN(AVERAGE_ENGAGEMENT, COLUMN() - COLUMN(LEFTMOST_CELL))))</f>
        <v>3</v>
      </c>
      <c r="AF38" s="14">
        <f ca="1">SUM(AF24:OFFSET(AF24,0,-MIN(AVERAGE_ENGAGEMENT, COLUMN() - COLUMN(LEFTMOST_CELL))))</f>
        <v>3</v>
      </c>
      <c r="AG38" s="14">
        <f ca="1">SUM(AG24:OFFSET(AG24,0,-MIN(AVERAGE_ENGAGEMENT, COLUMN() - COLUMN(LEFTMOST_CELL))))</f>
        <v>3</v>
      </c>
      <c r="AH38" s="14">
        <f ca="1">SUM(AH24:OFFSET(AH24,0,-MIN(AVERAGE_ENGAGEMENT, COLUMN() - COLUMN(LEFTMOST_CELL))))</f>
        <v>3</v>
      </c>
      <c r="AI38" s="14">
        <f ca="1">SUM(AI24:OFFSET(AI24,0,-MIN(AVERAGE_ENGAGEMENT, COLUMN() - COLUMN(LEFTMOST_CELL))))</f>
        <v>2</v>
      </c>
      <c r="AJ38" s="14">
        <f ca="1">SUM(AJ24:OFFSET(AJ24,0,-MIN(AVERAGE_ENGAGEMENT, COLUMN() - COLUMN(LEFTMOST_CELL))))</f>
        <v>2</v>
      </c>
      <c r="AK38" s="14">
        <f ca="1">SUM(AK24:OFFSET(AK24,0,-MIN(AVERAGE_ENGAGEMENT, COLUMN() - COLUMN(LEFTMOST_CELL))))</f>
        <v>3</v>
      </c>
      <c r="AL38" s="14">
        <f ca="1">SUM(AL24:OFFSET(AL24,0,-MIN(AVERAGE_ENGAGEMENT, COLUMN() - COLUMN(LEFTMOST_CELL))))</f>
        <v>4</v>
      </c>
      <c r="AM38" s="14">
        <f ca="1">SUM(AM24:OFFSET(AM24,0,-MIN(AVERAGE_ENGAGEMENT, COLUMN() - COLUMN(LEFTMOST_CELL))))</f>
        <v>4</v>
      </c>
      <c r="AN38" s="14">
        <f ca="1">SUM(AN24:OFFSET(AN24,0,-MIN(AVERAGE_ENGAGEMENT, COLUMN() - COLUMN(LEFTMOST_CELL))))</f>
        <v>4</v>
      </c>
      <c r="AO38" s="14">
        <f ca="1">SUM(AO24:OFFSET(AO24,0,-MIN(AVERAGE_ENGAGEMENT, COLUMN() - COLUMN(LEFTMOST_CELL))))</f>
        <v>4</v>
      </c>
      <c r="AP38" s="14">
        <f ca="1">SUM(AP24:OFFSET(AP24,0,-MIN(AVERAGE_ENGAGEMENT, COLUMN() - COLUMN(LEFTMOST_CELL))))</f>
        <v>5</v>
      </c>
      <c r="AQ38" s="14">
        <f ca="1">SUM(AQ24:OFFSET(AQ24,0,-MIN(AVERAGE_ENGAGEMENT, COLUMN() - COLUMN(LEFTMOST_CELL))))</f>
        <v>4</v>
      </c>
      <c r="AR38" s="14">
        <f ca="1">SUM(AR24:OFFSET(AR24,0,-MIN(AVERAGE_ENGAGEMENT, COLUMN() - COLUMN(LEFTMOST_CELL))))</f>
        <v>3</v>
      </c>
      <c r="AS38" s="14">
        <f ca="1">SUM(AS24:OFFSET(AS24,0,-MIN(AVERAGE_ENGAGEMENT, COLUMN() - COLUMN(LEFTMOST_CELL))))</f>
        <v>2</v>
      </c>
      <c r="AT38" s="14">
        <f ca="1">SUM(AT24:OFFSET(AT24,0,-MIN(AVERAGE_ENGAGEMENT, COLUMN() - COLUMN(LEFTMOST_CELL))))</f>
        <v>1</v>
      </c>
      <c r="AU38" s="14">
        <f ca="1">SUM(AU24:OFFSET(AU24,0,-MIN(AVERAGE_ENGAGEMENT, COLUMN() - COLUMN(LEFTMOST_CELL))))</f>
        <v>2</v>
      </c>
      <c r="AV38" s="14">
        <f ca="1">SUM(AV24:OFFSET(AV24,0,-MIN(AVERAGE_ENGAGEMENT, COLUMN() - COLUMN(LEFTMOST_CELL))))</f>
        <v>1</v>
      </c>
      <c r="AW38" s="14">
        <f ca="1">SUM(AW24:OFFSET(AW24,0,-MIN(AVERAGE_ENGAGEMENT, COLUMN() - COLUMN(LEFTMOST_CELL))))</f>
        <v>1</v>
      </c>
      <c r="AX38" s="14">
        <f ca="1">SUM(AX24:OFFSET(AX24,0,-MIN(AVERAGE_ENGAGEMENT, COLUMN() - COLUMN(LEFTMOST_CELL))))</f>
        <v>1</v>
      </c>
      <c r="AY38" s="14">
        <f ca="1">SUM(AY24:OFFSET(AY24,0,-MIN(AVERAGE_ENGAGEMENT, COLUMN() - COLUMN(LEFTMOST_CELL))))</f>
        <v>1</v>
      </c>
      <c r="AZ38" s="14">
        <f ca="1">SUM(AZ24:OFFSET(AZ24,0,-MIN(AVERAGE_ENGAGEMENT, COLUMN() - COLUMN(LEFTMOST_CELL))))</f>
        <v>1</v>
      </c>
      <c r="BA38" s="14">
        <f ca="1">SUM(BA24:OFFSET(BA24,0,-MIN(AVERAGE_ENGAGEMENT, COLUMN() - COLUMN(LEFTMOST_CELL))))</f>
        <v>0</v>
      </c>
      <c r="BB38" s="14">
        <f ca="1">SUM(BB24:OFFSET(BB24,0,-MIN(AVERAGE_ENGAGEMENT, COLUMN() - COLUMN(LEFTMOST_CELL))))</f>
        <v>0</v>
      </c>
    </row>
    <row r="39" spans="1:54" s="5" customFormat="1" x14ac:dyDescent="0.25">
      <c r="A39" s="31"/>
      <c r="B39" s="32"/>
      <c r="C39" s="24"/>
      <c r="D39" s="72" t="s">
        <v>52</v>
      </c>
      <c r="E39" s="73"/>
      <c r="G39" s="13">
        <f ca="1">SUM(G24:OFFSET(G24,0,-MIN(48,COLUMN()-COLUMN(LEFTMOST_CELL))))</f>
        <v>0</v>
      </c>
      <c r="H39" s="14">
        <f ca="1">SUM(H24:OFFSET(H24,0,-MIN(48,COLUMN()-COLUMN(LEFTMOST_CELL))))</f>
        <v>0</v>
      </c>
      <c r="I39" s="14">
        <f ca="1">SUM(I24:OFFSET(I24,0,-MIN(48,COLUMN()-COLUMN(LEFTMOST_CELL))))</f>
        <v>0</v>
      </c>
      <c r="J39" s="14">
        <f ca="1">SUM(J24:OFFSET(J24,0,-MIN(48,COLUMN()-COLUMN(LEFTMOST_CELL))))</f>
        <v>0</v>
      </c>
      <c r="K39" s="14">
        <f ca="1">SUM(K24:OFFSET(K24,0,-MIN(48,COLUMN()-COLUMN(LEFTMOST_CELL))))</f>
        <v>0</v>
      </c>
      <c r="L39" s="14">
        <f ca="1">SUM(L24:OFFSET(L24,0,-MIN(48,COLUMN()-COLUMN(LEFTMOST_CELL))))</f>
        <v>0</v>
      </c>
      <c r="M39" s="14">
        <f ca="1">SUM(M24:OFFSET(M24,0,-MIN(48,COLUMN()-COLUMN(LEFTMOST_CELL))))</f>
        <v>0</v>
      </c>
      <c r="N39" s="14">
        <f ca="1">SUM(N24:OFFSET(N24,0,-MIN(48,COLUMN()-COLUMN(LEFTMOST_CELL))))</f>
        <v>0</v>
      </c>
      <c r="O39" s="14">
        <f ca="1">SUM(O24:OFFSET(O24,0,-MIN(48,COLUMN()-COLUMN(LEFTMOST_CELL))))</f>
        <v>0</v>
      </c>
      <c r="P39" s="14">
        <f ca="1">SUM(P24:OFFSET(P24,0,-MIN(48,COLUMN()-COLUMN(LEFTMOST_CELL))))</f>
        <v>0</v>
      </c>
      <c r="Q39" s="14">
        <f ca="1">SUM(Q24:OFFSET(Q24,0,-MIN(48,COLUMN()-COLUMN(LEFTMOST_CELL))))</f>
        <v>0</v>
      </c>
      <c r="R39" s="14">
        <f ca="1">SUM(R24:OFFSET(R24,0,-MIN(48,COLUMN()-COLUMN(LEFTMOST_CELL))))</f>
        <v>0</v>
      </c>
      <c r="S39" s="14">
        <f ca="1">SUM(S24:OFFSET(S24,0,-MIN(48,COLUMN()-COLUMN(LEFTMOST_CELL))))</f>
        <v>0</v>
      </c>
      <c r="T39" s="14">
        <f ca="1">SUM(T24:OFFSET(T24,0,-MIN(48,COLUMN()-COLUMN(LEFTMOST_CELL))))</f>
        <v>1</v>
      </c>
      <c r="U39" s="14">
        <f ca="1">SUM(U24:OFFSET(U24,0,-MIN(48,COLUMN()-COLUMN(LEFTMOST_CELL))))</f>
        <v>2</v>
      </c>
      <c r="V39" s="14">
        <f ca="1">SUM(V24:OFFSET(V24,0,-MIN(48,COLUMN()-COLUMN(LEFTMOST_CELL))))</f>
        <v>3</v>
      </c>
      <c r="W39" s="14">
        <f ca="1">SUM(W24:OFFSET(W24,0,-MIN(48,COLUMN()-COLUMN(LEFTMOST_CELL))))</f>
        <v>4</v>
      </c>
      <c r="X39" s="14">
        <f ca="1">SUM(X24:OFFSET(X24,0,-MIN(48,COLUMN()-COLUMN(LEFTMOST_CELL))))</f>
        <v>5</v>
      </c>
      <c r="Y39" s="14">
        <f ca="1">SUM(Y24:OFFSET(Y24,0,-MIN(48,COLUMN()-COLUMN(LEFTMOST_CELL))))</f>
        <v>5</v>
      </c>
      <c r="Z39" s="14">
        <f ca="1">SUM(Z24:OFFSET(Z24,0,-MIN(48,COLUMN()-COLUMN(LEFTMOST_CELL))))</f>
        <v>5</v>
      </c>
      <c r="AA39" s="14">
        <f ca="1">SUM(AA24:OFFSET(AA24,0,-MIN(48,COLUMN()-COLUMN(LEFTMOST_CELL))))</f>
        <v>6</v>
      </c>
      <c r="AB39" s="14">
        <f ca="1">SUM(AB24:OFFSET(AB24,0,-MIN(48,COLUMN()-COLUMN(LEFTMOST_CELL))))</f>
        <v>7</v>
      </c>
      <c r="AC39" s="14">
        <f ca="1">SUM(AC24:OFFSET(AC24,0,-MIN(48,COLUMN()-COLUMN(LEFTMOST_CELL))))</f>
        <v>8</v>
      </c>
      <c r="AD39" s="14">
        <f ca="1">SUM(AD24:OFFSET(AD24,0,-MIN(48,COLUMN()-COLUMN(LEFTMOST_CELL))))</f>
        <v>8</v>
      </c>
      <c r="AE39" s="14">
        <f ca="1">SUM(AE24:OFFSET(AE24,0,-MIN(48,COLUMN()-COLUMN(LEFTMOST_CELL))))</f>
        <v>8</v>
      </c>
      <c r="AF39" s="14">
        <f ca="1">SUM(AF24:OFFSET(AF24,0,-MIN(48,COLUMN()-COLUMN(LEFTMOST_CELL))))</f>
        <v>8</v>
      </c>
      <c r="AG39" s="14">
        <f ca="1">SUM(AG24:OFFSET(AG24,0,-MIN(48,COLUMN()-COLUMN(LEFTMOST_CELL))))</f>
        <v>9</v>
      </c>
      <c r="AH39" s="14">
        <f ca="1">SUM(AH24:OFFSET(AH24,0,-MIN(48,COLUMN()-COLUMN(LEFTMOST_CELL))))</f>
        <v>10</v>
      </c>
      <c r="AI39" s="14">
        <f ca="1">SUM(AI24:OFFSET(AI24,0,-MIN(48,COLUMN()-COLUMN(LEFTMOST_CELL))))</f>
        <v>10</v>
      </c>
      <c r="AJ39" s="14">
        <f ca="1">SUM(AJ24:OFFSET(AJ24,0,-MIN(48,COLUMN()-COLUMN(LEFTMOST_CELL))))</f>
        <v>10</v>
      </c>
      <c r="AK39" s="14">
        <f ca="1">SUM(AK24:OFFSET(AK24,0,-MIN(48,COLUMN()-COLUMN(LEFTMOST_CELL))))</f>
        <v>11</v>
      </c>
      <c r="AL39" s="14">
        <f ca="1">SUM(AL24:OFFSET(AL24,0,-MIN(48,COLUMN()-COLUMN(LEFTMOST_CELL))))</f>
        <v>12</v>
      </c>
      <c r="AM39" s="14">
        <f ca="1">SUM(AM24:OFFSET(AM24,0,-MIN(48,COLUMN()-COLUMN(LEFTMOST_CELL))))</f>
        <v>13</v>
      </c>
      <c r="AN39" s="14">
        <f ca="1">SUM(AN24:OFFSET(AN24,0,-MIN(48,COLUMN()-COLUMN(LEFTMOST_CELL))))</f>
        <v>14</v>
      </c>
      <c r="AO39" s="14">
        <f ca="1">SUM(AO24:OFFSET(AO24,0,-MIN(48,COLUMN()-COLUMN(LEFTMOST_CELL))))</f>
        <v>14</v>
      </c>
      <c r="AP39" s="14">
        <f ca="1">SUM(AP24:OFFSET(AP24,0,-MIN(48,COLUMN()-COLUMN(LEFTMOST_CELL))))</f>
        <v>15</v>
      </c>
      <c r="AQ39" s="14">
        <f ca="1">SUM(AQ24:OFFSET(AQ24,0,-MIN(48,COLUMN()-COLUMN(LEFTMOST_CELL))))</f>
        <v>15</v>
      </c>
      <c r="AR39" s="14">
        <f ca="1">SUM(AR24:OFFSET(AR24,0,-MIN(48,COLUMN()-COLUMN(LEFTMOST_CELL))))</f>
        <v>15</v>
      </c>
      <c r="AS39" s="14">
        <f ca="1">SUM(AS24:OFFSET(AS24,0,-MIN(48,COLUMN()-COLUMN(LEFTMOST_CELL))))</f>
        <v>15</v>
      </c>
      <c r="AT39" s="14">
        <f ca="1">SUM(AT24:OFFSET(AT24,0,-MIN(48,COLUMN()-COLUMN(LEFTMOST_CELL))))</f>
        <v>15</v>
      </c>
      <c r="AU39" s="14">
        <f ca="1">SUM(AU24:OFFSET(AU24,0,-MIN(48,COLUMN()-COLUMN(LEFTMOST_CELL))))</f>
        <v>16</v>
      </c>
      <c r="AV39" s="14">
        <f ca="1">SUM(AV24:OFFSET(AV24,0,-MIN(48,COLUMN()-COLUMN(LEFTMOST_CELL))))</f>
        <v>16</v>
      </c>
      <c r="AW39" s="14">
        <f ca="1">SUM(AW24:OFFSET(AW24,0,-MIN(48,COLUMN()-COLUMN(LEFTMOST_CELL))))</f>
        <v>16</v>
      </c>
      <c r="AX39" s="14">
        <f ca="1">SUM(AX24:OFFSET(AX24,0,-MIN(48,COLUMN()-COLUMN(LEFTMOST_CELL))))</f>
        <v>16</v>
      </c>
      <c r="AY39" s="14">
        <f ca="1">SUM(AY24:OFFSET(AY24,0,-MIN(48,COLUMN()-COLUMN(LEFTMOST_CELL))))</f>
        <v>16</v>
      </c>
      <c r="AZ39" s="14">
        <f ca="1">SUM(AZ24:OFFSET(AZ24,0,-MIN(48,COLUMN()-COLUMN(LEFTMOST_CELL))))</f>
        <v>16</v>
      </c>
      <c r="BA39" s="14">
        <f ca="1">SUM(BA24:OFFSET(BA24,0,-MIN(48,COLUMN()-COLUMN(LEFTMOST_CELL))))</f>
        <v>16</v>
      </c>
      <c r="BB39" s="14">
        <f ca="1">SUM(BB24:OFFSET(BB24,0,-MIN(48,COLUMN()-COLUMN(LEFTMOST_CELL))))</f>
        <v>16</v>
      </c>
    </row>
    <row r="40" spans="1:54" s="5" customFormat="1" x14ac:dyDescent="0.25">
      <c r="A40" s="45" t="s">
        <v>90</v>
      </c>
      <c r="B40" s="32">
        <f ca="1">AVERAGE(G40:BB40)</f>
        <v>80</v>
      </c>
      <c r="C40" s="24"/>
      <c r="D40" s="5" t="s">
        <v>106</v>
      </c>
      <c r="G40" s="14">
        <f ca="1">G38*40</f>
        <v>0</v>
      </c>
      <c r="H40" s="14">
        <f t="shared" ref="H40:BB40" ca="1" si="6">H38*40</f>
        <v>0</v>
      </c>
      <c r="I40" s="14">
        <f t="shared" ca="1" si="6"/>
        <v>0</v>
      </c>
      <c r="J40" s="14">
        <f t="shared" ca="1" si="6"/>
        <v>0</v>
      </c>
      <c r="K40" s="14">
        <f t="shared" ca="1" si="6"/>
        <v>0</v>
      </c>
      <c r="L40" s="14">
        <f t="shared" ca="1" si="6"/>
        <v>0</v>
      </c>
      <c r="M40" s="14">
        <f t="shared" ca="1" si="6"/>
        <v>0</v>
      </c>
      <c r="N40" s="14">
        <f t="shared" ca="1" si="6"/>
        <v>0</v>
      </c>
      <c r="O40" s="14">
        <f t="shared" ca="1" si="6"/>
        <v>0</v>
      </c>
      <c r="P40" s="14">
        <f t="shared" ca="1" si="6"/>
        <v>0</v>
      </c>
      <c r="Q40" s="14">
        <f t="shared" ca="1" si="6"/>
        <v>0</v>
      </c>
      <c r="R40" s="14">
        <f t="shared" ca="1" si="6"/>
        <v>0</v>
      </c>
      <c r="S40" s="14">
        <f t="shared" ca="1" si="6"/>
        <v>0</v>
      </c>
      <c r="T40" s="14">
        <f ca="1">T38*40</f>
        <v>40</v>
      </c>
      <c r="U40" s="14">
        <f t="shared" ca="1" si="6"/>
        <v>80</v>
      </c>
      <c r="V40" s="14">
        <f ca="1">V38*40</f>
        <v>120</v>
      </c>
      <c r="W40" s="14">
        <f t="shared" ca="1" si="6"/>
        <v>160</v>
      </c>
      <c r="X40" s="14">
        <f t="shared" ca="1" si="6"/>
        <v>200</v>
      </c>
      <c r="Y40" s="14">
        <f t="shared" ca="1" si="6"/>
        <v>200</v>
      </c>
      <c r="Z40" s="14">
        <f t="shared" ca="1" si="6"/>
        <v>160</v>
      </c>
      <c r="AA40" s="14">
        <f t="shared" ca="1" si="6"/>
        <v>160</v>
      </c>
      <c r="AB40" s="14">
        <f t="shared" ca="1" si="6"/>
        <v>160</v>
      </c>
      <c r="AC40" s="14">
        <f t="shared" ca="1" si="6"/>
        <v>160</v>
      </c>
      <c r="AD40" s="14">
        <f t="shared" ca="1" si="6"/>
        <v>120</v>
      </c>
      <c r="AE40" s="14">
        <f t="shared" ca="1" si="6"/>
        <v>120</v>
      </c>
      <c r="AF40" s="14">
        <f t="shared" ca="1" si="6"/>
        <v>120</v>
      </c>
      <c r="AG40" s="14">
        <f t="shared" ca="1" si="6"/>
        <v>120</v>
      </c>
      <c r="AH40" s="14">
        <f t="shared" ca="1" si="6"/>
        <v>120</v>
      </c>
      <c r="AI40" s="14">
        <f t="shared" ca="1" si="6"/>
        <v>80</v>
      </c>
      <c r="AJ40" s="14">
        <f t="shared" ca="1" si="6"/>
        <v>80</v>
      </c>
      <c r="AK40" s="14">
        <f t="shared" ca="1" si="6"/>
        <v>120</v>
      </c>
      <c r="AL40" s="14">
        <f t="shared" ca="1" si="6"/>
        <v>160</v>
      </c>
      <c r="AM40" s="14">
        <f t="shared" ca="1" si="6"/>
        <v>160</v>
      </c>
      <c r="AN40" s="14">
        <f t="shared" ca="1" si="6"/>
        <v>160</v>
      </c>
      <c r="AO40" s="14">
        <f t="shared" ca="1" si="6"/>
        <v>160</v>
      </c>
      <c r="AP40" s="14">
        <f t="shared" ca="1" si="6"/>
        <v>200</v>
      </c>
      <c r="AQ40" s="14">
        <f t="shared" ca="1" si="6"/>
        <v>160</v>
      </c>
      <c r="AR40" s="14">
        <f t="shared" ca="1" si="6"/>
        <v>120</v>
      </c>
      <c r="AS40" s="14">
        <f t="shared" ca="1" si="6"/>
        <v>80</v>
      </c>
      <c r="AT40" s="14">
        <f t="shared" ca="1" si="6"/>
        <v>40</v>
      </c>
      <c r="AU40" s="14">
        <f t="shared" ca="1" si="6"/>
        <v>80</v>
      </c>
      <c r="AV40" s="14">
        <f t="shared" ca="1" si="6"/>
        <v>40</v>
      </c>
      <c r="AW40" s="14">
        <f t="shared" ca="1" si="6"/>
        <v>40</v>
      </c>
      <c r="AX40" s="14">
        <f t="shared" ca="1" si="6"/>
        <v>40</v>
      </c>
      <c r="AY40" s="14">
        <f t="shared" ca="1" si="6"/>
        <v>40</v>
      </c>
      <c r="AZ40" s="14">
        <f t="shared" ca="1" si="6"/>
        <v>40</v>
      </c>
      <c r="BA40" s="14">
        <f t="shared" ca="1" si="6"/>
        <v>0</v>
      </c>
      <c r="BB40" s="14">
        <f t="shared" ca="1" si="6"/>
        <v>0</v>
      </c>
    </row>
    <row r="41" spans="1:54" s="43" customFormat="1" x14ac:dyDescent="0.25">
      <c r="A41" s="7" t="s">
        <v>54</v>
      </c>
      <c r="B41" s="26">
        <f>B2*40</f>
        <v>2000</v>
      </c>
      <c r="C41" s="20"/>
      <c r="D41" s="74" t="s">
        <v>57</v>
      </c>
      <c r="E41" s="75"/>
      <c r="G41" s="2">
        <f t="shared" ref="G41:BB41" ca="1" si="7">(G40*BILLABLE_RATE) +  (G39 * MONTHLY_FEE)</f>
        <v>0</v>
      </c>
      <c r="H41" s="2">
        <f t="shared" ca="1" si="7"/>
        <v>0</v>
      </c>
      <c r="I41" s="2">
        <f t="shared" ca="1" si="7"/>
        <v>0</v>
      </c>
      <c r="J41" s="2">
        <f t="shared" ca="1" si="7"/>
        <v>0</v>
      </c>
      <c r="K41" s="2">
        <f t="shared" ca="1" si="7"/>
        <v>0</v>
      </c>
      <c r="L41" s="2">
        <f t="shared" ca="1" si="7"/>
        <v>0</v>
      </c>
      <c r="M41" s="2">
        <f t="shared" ca="1" si="7"/>
        <v>0</v>
      </c>
      <c r="N41" s="2">
        <f t="shared" ca="1" si="7"/>
        <v>0</v>
      </c>
      <c r="O41" s="2">
        <f t="shared" ca="1" si="7"/>
        <v>0</v>
      </c>
      <c r="P41" s="2">
        <f t="shared" ca="1" si="7"/>
        <v>0</v>
      </c>
      <c r="Q41" s="2">
        <f t="shared" ca="1" si="7"/>
        <v>0</v>
      </c>
      <c r="R41" s="2">
        <f t="shared" ca="1" si="7"/>
        <v>0</v>
      </c>
      <c r="S41" s="2">
        <f t="shared" ca="1" si="7"/>
        <v>0</v>
      </c>
      <c r="T41" s="2">
        <f t="shared" ca="1" si="7"/>
        <v>2300</v>
      </c>
      <c r="U41" s="2">
        <f t="shared" ca="1" si="7"/>
        <v>4600</v>
      </c>
      <c r="V41" s="2">
        <f t="shared" ca="1" si="7"/>
        <v>6900</v>
      </c>
      <c r="W41" s="2">
        <f t="shared" ca="1" si="7"/>
        <v>9200</v>
      </c>
      <c r="X41" s="2">
        <f t="shared" ca="1" si="7"/>
        <v>11500</v>
      </c>
      <c r="Y41" s="2">
        <f t="shared" ca="1" si="7"/>
        <v>11500</v>
      </c>
      <c r="Z41" s="2">
        <f t="shared" ca="1" si="7"/>
        <v>9500</v>
      </c>
      <c r="AA41" s="2">
        <f t="shared" ca="1" si="7"/>
        <v>9800</v>
      </c>
      <c r="AB41" s="2">
        <f t="shared" ca="1" si="7"/>
        <v>10100</v>
      </c>
      <c r="AC41" s="2">
        <f t="shared" ca="1" si="7"/>
        <v>10400</v>
      </c>
      <c r="AD41" s="2">
        <f t="shared" ca="1" si="7"/>
        <v>8400</v>
      </c>
      <c r="AE41" s="2">
        <f t="shared" ca="1" si="7"/>
        <v>8400</v>
      </c>
      <c r="AF41" s="2">
        <f t="shared" ca="1" si="7"/>
        <v>8400</v>
      </c>
      <c r="AG41" s="2">
        <f t="shared" ca="1" si="7"/>
        <v>8700</v>
      </c>
      <c r="AH41" s="2">
        <f t="shared" ca="1" si="7"/>
        <v>9000</v>
      </c>
      <c r="AI41" s="2">
        <f t="shared" ca="1" si="7"/>
        <v>7000</v>
      </c>
      <c r="AJ41" s="2">
        <f t="shared" ca="1" si="7"/>
        <v>7000</v>
      </c>
      <c r="AK41" s="2">
        <f t="shared" ca="1" si="7"/>
        <v>9300</v>
      </c>
      <c r="AL41" s="2">
        <f t="shared" ca="1" si="7"/>
        <v>11600</v>
      </c>
      <c r="AM41" s="2">
        <f t="shared" ca="1" si="7"/>
        <v>11900</v>
      </c>
      <c r="AN41" s="2">
        <f t="shared" ca="1" si="7"/>
        <v>12200</v>
      </c>
      <c r="AO41" s="2">
        <f t="shared" ca="1" si="7"/>
        <v>12200</v>
      </c>
      <c r="AP41" s="2">
        <f t="shared" ca="1" si="7"/>
        <v>14500</v>
      </c>
      <c r="AQ41" s="2">
        <f t="shared" ca="1" si="7"/>
        <v>12500</v>
      </c>
      <c r="AR41" s="2">
        <f t="shared" ca="1" si="7"/>
        <v>10500</v>
      </c>
      <c r="AS41" s="2">
        <f t="shared" ca="1" si="7"/>
        <v>8500</v>
      </c>
      <c r="AT41" s="2">
        <f t="shared" ca="1" si="7"/>
        <v>6500</v>
      </c>
      <c r="AU41" s="2">
        <f t="shared" ca="1" si="7"/>
        <v>8800</v>
      </c>
      <c r="AV41" s="2">
        <f t="shared" ca="1" si="7"/>
        <v>6800</v>
      </c>
      <c r="AW41" s="2">
        <f t="shared" ca="1" si="7"/>
        <v>6800</v>
      </c>
      <c r="AX41" s="2">
        <f t="shared" ca="1" si="7"/>
        <v>6800</v>
      </c>
      <c r="AY41" s="2">
        <f t="shared" ca="1" si="7"/>
        <v>6800</v>
      </c>
      <c r="AZ41" s="2">
        <f t="shared" ca="1" si="7"/>
        <v>6800</v>
      </c>
      <c r="BA41" s="2">
        <f t="shared" ca="1" si="7"/>
        <v>4800</v>
      </c>
      <c r="BB41" s="2">
        <f t="shared" ca="1" si="7"/>
        <v>4800</v>
      </c>
    </row>
    <row r="42" spans="1:54" s="5" customFormat="1" x14ac:dyDescent="0.25">
      <c r="A42" s="31" t="s">
        <v>101</v>
      </c>
      <c r="B42" s="32">
        <f ca="1">GetAverageCustomerCount(B26)</f>
        <v>14</v>
      </c>
      <c r="C42" s="24"/>
      <c r="D42" s="39"/>
      <c r="E42" s="41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</row>
    <row r="43" spans="1:54" s="5" customFormat="1" x14ac:dyDescent="0.25">
      <c r="A43" s="31" t="s">
        <v>102</v>
      </c>
      <c r="B43" s="32">
        <f ca="1">GetAverageBillableHours(B40)</f>
        <v>71</v>
      </c>
      <c r="C43" s="24"/>
      <c r="D43" s="39"/>
      <c r="E43" s="41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</row>
    <row r="44" spans="1:54" s="5" customFormat="1" x14ac:dyDescent="0.25">
      <c r="A44" s="31" t="s">
        <v>100</v>
      </c>
      <c r="B44" s="40">
        <f ca="1">GetAverageRevenue(E7)</f>
        <v>271468</v>
      </c>
      <c r="C44" s="24"/>
      <c r="D44" s="39"/>
      <c r="E44" s="41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</row>
    <row r="45" spans="1:54" s="5" customFormat="1" x14ac:dyDescent="0.25">
      <c r="A45" s="5" t="s">
        <v>104</v>
      </c>
      <c r="B45" s="5">
        <f ca="1">GetAverageCustomersPerWeek(B36)</f>
        <v>2</v>
      </c>
      <c r="C45" s="24"/>
      <c r="D45" s="39"/>
      <c r="E45" s="41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</row>
    <row r="46" spans="1:54" s="5" customFormat="1" x14ac:dyDescent="0.25">
      <c r="A46" s="31" t="s">
        <v>91</v>
      </c>
      <c r="B46" s="55">
        <f>B25 * 40</f>
        <v>200</v>
      </c>
      <c r="C46" s="24"/>
      <c r="D46" s="39"/>
      <c r="E46" s="41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</row>
    <row r="47" spans="1:54" s="5" customFormat="1" x14ac:dyDescent="0.25">
      <c r="A47" s="31" t="s">
        <v>88</v>
      </c>
      <c r="B47" s="40">
        <f>ENGAGEMENT_BILLABLE_HOURS *BILLABLE_RATE</f>
        <v>10000</v>
      </c>
      <c r="C47" s="24"/>
      <c r="D47" s="39"/>
      <c r="E47" s="41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</row>
    <row r="48" spans="1:54" s="5" customFormat="1" x14ac:dyDescent="0.25">
      <c r="A48" s="31" t="s">
        <v>92</v>
      </c>
      <c r="B48" s="32">
        <v>30</v>
      </c>
      <c r="C48" s="24"/>
      <c r="D48" s="39"/>
      <c r="E48" s="41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</row>
    <row r="49" spans="1:54" s="5" customFormat="1" x14ac:dyDescent="0.25">
      <c r="A49" s="31" t="s">
        <v>89</v>
      </c>
      <c r="B49" s="35">
        <f>(1/CALLS_TO_CLOSE_RATIO)*CALL_HOURS</f>
        <v>22.222222222222221</v>
      </c>
      <c r="C49" s="24"/>
      <c r="D49" s="39"/>
      <c r="E49" s="41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</row>
    <row r="50" spans="1:54" s="5" customFormat="1" x14ac:dyDescent="0.25">
      <c r="A50" s="31"/>
      <c r="B50" s="32"/>
      <c r="C50" s="24"/>
      <c r="D50" s="39"/>
      <c r="E50" s="41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</row>
    <row r="51" spans="1:54" s="5" customFormat="1" x14ac:dyDescent="0.25">
      <c r="A51" s="31"/>
      <c r="B51" s="32"/>
      <c r="C51" s="24"/>
      <c r="D51" s="14"/>
      <c r="E51" s="2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</row>
    <row r="52" spans="1:54" x14ac:dyDescent="0.25">
      <c r="C52" s="24"/>
    </row>
  </sheetData>
  <mergeCells count="231">
    <mergeCell ref="BC29:BN29"/>
    <mergeCell ref="S28:AD28"/>
    <mergeCell ref="AE28:AP28"/>
    <mergeCell ref="AQ28:BB28"/>
    <mergeCell ref="AA30:AD30"/>
    <mergeCell ref="AE30:AH30"/>
    <mergeCell ref="AI30:AL30"/>
    <mergeCell ref="AM30:AP30"/>
    <mergeCell ref="D29:E29"/>
    <mergeCell ref="G29:R29"/>
    <mergeCell ref="S29:AD29"/>
    <mergeCell ref="AE29:AP29"/>
    <mergeCell ref="AQ29:BB29"/>
    <mergeCell ref="AQ30:AT30"/>
    <mergeCell ref="AU30:AX30"/>
    <mergeCell ref="AY30:BB30"/>
    <mergeCell ref="G30:J30"/>
    <mergeCell ref="K30:N30"/>
    <mergeCell ref="O30:R30"/>
    <mergeCell ref="S30:V30"/>
    <mergeCell ref="W30:Z30"/>
    <mergeCell ref="AU23:AX23"/>
    <mergeCell ref="AY23:BB23"/>
    <mergeCell ref="G27:R27"/>
    <mergeCell ref="S27:AD27"/>
    <mergeCell ref="AE27:AP27"/>
    <mergeCell ref="AQ27:BB27"/>
    <mergeCell ref="K23:N23"/>
    <mergeCell ref="O23:R23"/>
    <mergeCell ref="S23:V23"/>
    <mergeCell ref="W23:Z23"/>
    <mergeCell ref="AA23:AD23"/>
    <mergeCell ref="AE23:AH23"/>
    <mergeCell ref="AI23:AL23"/>
    <mergeCell ref="AM23:AP23"/>
    <mergeCell ref="AQ23:AT23"/>
    <mergeCell ref="G23:J23"/>
    <mergeCell ref="AY9:BB9"/>
    <mergeCell ref="AQ8:AT8"/>
    <mergeCell ref="AU8:AX8"/>
    <mergeCell ref="AY8:BB8"/>
    <mergeCell ref="K9:N9"/>
    <mergeCell ref="O9:R9"/>
    <mergeCell ref="S9:V9"/>
    <mergeCell ref="W9:Z9"/>
    <mergeCell ref="AA9:AD9"/>
    <mergeCell ref="AE9:AH9"/>
    <mergeCell ref="S8:V8"/>
    <mergeCell ref="W8:Z8"/>
    <mergeCell ref="AA8:AD8"/>
    <mergeCell ref="AE8:AH8"/>
    <mergeCell ref="AI8:AL8"/>
    <mergeCell ref="AM8:AP8"/>
    <mergeCell ref="K8:N8"/>
    <mergeCell ref="O8:R8"/>
    <mergeCell ref="AY11:BB11"/>
    <mergeCell ref="AQ10:AT10"/>
    <mergeCell ref="AU10:AX10"/>
    <mergeCell ref="AY10:BB10"/>
    <mergeCell ref="K11:N11"/>
    <mergeCell ref="O11:R11"/>
    <mergeCell ref="S11:V11"/>
    <mergeCell ref="W11:Z11"/>
    <mergeCell ref="AA11:AD11"/>
    <mergeCell ref="AE11:AH11"/>
    <mergeCell ref="S10:V10"/>
    <mergeCell ref="W10:Z10"/>
    <mergeCell ref="AA10:AD10"/>
    <mergeCell ref="AE10:AH10"/>
    <mergeCell ref="AI10:AL10"/>
    <mergeCell ref="AM10:AP10"/>
    <mergeCell ref="K10:N10"/>
    <mergeCell ref="O10:R10"/>
    <mergeCell ref="AY13:BB13"/>
    <mergeCell ref="AQ12:AT12"/>
    <mergeCell ref="AU12:AX12"/>
    <mergeCell ref="AY12:BB12"/>
    <mergeCell ref="K13:N13"/>
    <mergeCell ref="O13:R13"/>
    <mergeCell ref="S13:V13"/>
    <mergeCell ref="W13:Z13"/>
    <mergeCell ref="AA13:AD13"/>
    <mergeCell ref="AE13:AH13"/>
    <mergeCell ref="S12:V12"/>
    <mergeCell ref="W12:Z12"/>
    <mergeCell ref="AA12:AD12"/>
    <mergeCell ref="AE12:AH12"/>
    <mergeCell ref="AI12:AL12"/>
    <mergeCell ref="AM12:AP12"/>
    <mergeCell ref="K12:N12"/>
    <mergeCell ref="O12:R12"/>
    <mergeCell ref="AY15:BB15"/>
    <mergeCell ref="K15:N15"/>
    <mergeCell ref="O15:R15"/>
    <mergeCell ref="S15:V15"/>
    <mergeCell ref="W15:Z15"/>
    <mergeCell ref="AA15:AD15"/>
    <mergeCell ref="AE15:AH15"/>
    <mergeCell ref="AM14:AP14"/>
    <mergeCell ref="AQ14:AT14"/>
    <mergeCell ref="AU14:AX14"/>
    <mergeCell ref="AY14:BB14"/>
    <mergeCell ref="K14:N14"/>
    <mergeCell ref="O14:R14"/>
    <mergeCell ref="S14:V14"/>
    <mergeCell ref="W14:Z14"/>
    <mergeCell ref="AA14:AD14"/>
    <mergeCell ref="AE14:AH14"/>
    <mergeCell ref="AI15:AL15"/>
    <mergeCell ref="AI14:AL14"/>
    <mergeCell ref="W17:Z17"/>
    <mergeCell ref="AA17:AD17"/>
    <mergeCell ref="AE17:AH17"/>
    <mergeCell ref="AM16:AP16"/>
    <mergeCell ref="AQ16:AT16"/>
    <mergeCell ref="AU16:AX16"/>
    <mergeCell ref="AY16:BB16"/>
    <mergeCell ref="K16:N16"/>
    <mergeCell ref="O16:R16"/>
    <mergeCell ref="S16:V16"/>
    <mergeCell ref="W16:Z16"/>
    <mergeCell ref="AA16:AD16"/>
    <mergeCell ref="AE16:AH16"/>
    <mergeCell ref="AY4:BB4"/>
    <mergeCell ref="G4:J4"/>
    <mergeCell ref="K4:N4"/>
    <mergeCell ref="O4:R4"/>
    <mergeCell ref="S4:V4"/>
    <mergeCell ref="W4:Z4"/>
    <mergeCell ref="AA4:AD4"/>
    <mergeCell ref="AY19:BB19"/>
    <mergeCell ref="K19:N19"/>
    <mergeCell ref="O19:R19"/>
    <mergeCell ref="S19:V19"/>
    <mergeCell ref="W19:Z19"/>
    <mergeCell ref="AA19:AD19"/>
    <mergeCell ref="AE19:AH19"/>
    <mergeCell ref="AI18:AL18"/>
    <mergeCell ref="AM18:AP18"/>
    <mergeCell ref="AQ18:AT18"/>
    <mergeCell ref="AU18:AX18"/>
    <mergeCell ref="AY18:BB18"/>
    <mergeCell ref="K18:N18"/>
    <mergeCell ref="O18:R18"/>
    <mergeCell ref="S18:V18"/>
    <mergeCell ref="W18:Z18"/>
    <mergeCell ref="AA18:AD18"/>
    <mergeCell ref="AE4:AH4"/>
    <mergeCell ref="AI4:AL4"/>
    <mergeCell ref="AM4:AP4"/>
    <mergeCell ref="AQ4:AT4"/>
    <mergeCell ref="AU4:AX4"/>
    <mergeCell ref="AE18:AH18"/>
    <mergeCell ref="AM17:AP17"/>
    <mergeCell ref="AQ17:AT17"/>
    <mergeCell ref="AU17:AX17"/>
    <mergeCell ref="AM15:AP15"/>
    <mergeCell ref="AQ15:AT15"/>
    <mergeCell ref="AU15:AX15"/>
    <mergeCell ref="AI13:AL13"/>
    <mergeCell ref="AM13:AP13"/>
    <mergeCell ref="AQ13:AT13"/>
    <mergeCell ref="AU13:AX13"/>
    <mergeCell ref="AI11:AL11"/>
    <mergeCell ref="AM11:AP11"/>
    <mergeCell ref="AQ11:AT11"/>
    <mergeCell ref="AU11:AX11"/>
    <mergeCell ref="AI9:AL9"/>
    <mergeCell ref="AM9:AP9"/>
    <mergeCell ref="AQ9:AT9"/>
    <mergeCell ref="AU9:AX9"/>
    <mergeCell ref="AQ7:AT7"/>
    <mergeCell ref="AU7:AX7"/>
    <mergeCell ref="AY7:BB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I20:AL20"/>
    <mergeCell ref="AI17:AL17"/>
    <mergeCell ref="AI16:AL16"/>
    <mergeCell ref="AY20:BB20"/>
    <mergeCell ref="K20:N20"/>
    <mergeCell ref="D37:E37"/>
    <mergeCell ref="G16:J16"/>
    <mergeCell ref="G28:R28"/>
    <mergeCell ref="AM20:AP20"/>
    <mergeCell ref="AQ20:AT20"/>
    <mergeCell ref="O20:R20"/>
    <mergeCell ref="S20:V20"/>
    <mergeCell ref="W20:Z20"/>
    <mergeCell ref="AA20:AD20"/>
    <mergeCell ref="AE20:AH20"/>
    <mergeCell ref="AI19:AL19"/>
    <mergeCell ref="AM19:AP19"/>
    <mergeCell ref="AQ19:AT19"/>
    <mergeCell ref="AU19:AX19"/>
    <mergeCell ref="AU20:AX20"/>
    <mergeCell ref="AY17:BB17"/>
    <mergeCell ref="K17:N17"/>
    <mergeCell ref="O17:R17"/>
    <mergeCell ref="S17:V17"/>
    <mergeCell ref="D38:E38"/>
    <mergeCell ref="D39:E39"/>
    <mergeCell ref="D41:E41"/>
    <mergeCell ref="G3:J3"/>
    <mergeCell ref="D25:E25"/>
    <mergeCell ref="D26:E26"/>
    <mergeCell ref="D27:E27"/>
    <mergeCell ref="D28:E28"/>
    <mergeCell ref="D30:E30"/>
    <mergeCell ref="G17:J17"/>
    <mergeCell ref="G18:J18"/>
    <mergeCell ref="G19:J19"/>
    <mergeCell ref="G20:J20"/>
    <mergeCell ref="G8:J8"/>
    <mergeCell ref="G9:J9"/>
    <mergeCell ref="G10:J10"/>
    <mergeCell ref="G11:J11"/>
    <mergeCell ref="G12:J12"/>
    <mergeCell ref="G13:J13"/>
    <mergeCell ref="G14:J14"/>
    <mergeCell ref="G15:J15"/>
    <mergeCell ref="D34:E34"/>
    <mergeCell ref="D35:E35"/>
    <mergeCell ref="D36:E3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Refresh">
                <anchor moveWithCells="1" sizeWithCells="1">
                  <from>
                    <xdr:col>3</xdr:col>
                    <xdr:colOff>28575</xdr:colOff>
                    <xdr:row>0</xdr:row>
                    <xdr:rowOff>161925</xdr:rowOff>
                  </from>
                  <to>
                    <xdr:col>3</xdr:col>
                    <xdr:colOff>1028700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3</xdr:col>
                    <xdr:colOff>19050</xdr:colOff>
                    <xdr:row>2</xdr:row>
                    <xdr:rowOff>66675</xdr:rowOff>
                  </from>
                  <to>
                    <xdr:col>3</xdr:col>
                    <xdr:colOff>1028700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3"/>
  <sheetViews>
    <sheetView topLeftCell="A10" workbookViewId="0">
      <selection activeCell="N28" sqref="N28"/>
    </sheetView>
  </sheetViews>
  <sheetFormatPr defaultRowHeight="15" x14ac:dyDescent="0.25"/>
  <cols>
    <col min="1" max="1" width="15.140625" customWidth="1"/>
    <col min="2" max="2" width="16.7109375" customWidth="1"/>
    <col min="3" max="4" width="14.85546875" style="5" customWidth="1"/>
    <col min="5" max="5" width="14.85546875" style="3" customWidth="1"/>
    <col min="6" max="7" width="11" style="59" customWidth="1"/>
    <col min="8" max="8" width="14.5703125" style="59" customWidth="1"/>
    <col min="9" max="9" width="16" style="47" customWidth="1"/>
    <col min="10" max="10" width="16" style="2" customWidth="1"/>
    <col min="11" max="11" width="18.85546875" style="63" customWidth="1"/>
    <col min="12" max="12" width="17.5703125" style="2" customWidth="1"/>
    <col min="13" max="13" width="24" customWidth="1"/>
    <col min="14" max="14" width="24.28515625" style="43" customWidth="1"/>
  </cols>
  <sheetData>
    <row r="1" spans="1:14" x14ac:dyDescent="0.25">
      <c r="A1" t="s">
        <v>109</v>
      </c>
      <c r="D1" s="65">
        <v>0.25</v>
      </c>
      <c r="G1" s="65"/>
      <c r="H1" s="65"/>
      <c r="I1" s="62"/>
    </row>
    <row r="2" spans="1:14" x14ac:dyDescent="0.25">
      <c r="A2" t="s">
        <v>112</v>
      </c>
      <c r="D2" s="65">
        <v>0.6</v>
      </c>
      <c r="G2" s="65"/>
      <c r="H2" s="65"/>
      <c r="I2" s="62"/>
    </row>
    <row r="3" spans="1:14" x14ac:dyDescent="0.25">
      <c r="A3" t="s">
        <v>111</v>
      </c>
      <c r="D3" s="65">
        <v>0.65</v>
      </c>
      <c r="G3" s="65"/>
      <c r="H3" s="65"/>
      <c r="I3" s="62"/>
    </row>
    <row r="4" spans="1:14" x14ac:dyDescent="0.25">
      <c r="A4" t="s">
        <v>110</v>
      </c>
      <c r="B4" s="65"/>
      <c r="D4" s="51">
        <f ca="1">($F$8/$E$8) *0.65</f>
        <v>6.24</v>
      </c>
      <c r="G4" s="51"/>
      <c r="H4" s="51"/>
      <c r="I4" s="62"/>
    </row>
    <row r="5" spans="1:14" x14ac:dyDescent="0.25">
      <c r="A5" t="s">
        <v>139</v>
      </c>
      <c r="B5" s="65"/>
      <c r="D5" s="65">
        <v>0.75</v>
      </c>
      <c r="G5" s="51"/>
      <c r="H5" s="51"/>
      <c r="I5" s="62"/>
    </row>
    <row r="6" spans="1:14" x14ac:dyDescent="0.25">
      <c r="B6" s="65"/>
      <c r="I6" s="62"/>
    </row>
    <row r="7" spans="1:14" ht="45" x14ac:dyDescent="0.25">
      <c r="A7" t="s">
        <v>108</v>
      </c>
      <c r="B7" t="s">
        <v>107</v>
      </c>
      <c r="C7" s="50" t="s">
        <v>119</v>
      </c>
      <c r="D7" s="50" t="s">
        <v>126</v>
      </c>
      <c r="E7" s="60" t="s">
        <v>118</v>
      </c>
      <c r="F7" s="50" t="s">
        <v>105</v>
      </c>
      <c r="G7" s="50" t="s">
        <v>138</v>
      </c>
      <c r="H7" s="50" t="s">
        <v>140</v>
      </c>
      <c r="I7" s="50" t="s">
        <v>99</v>
      </c>
      <c r="J7" s="67" t="s">
        <v>141</v>
      </c>
      <c r="K7" s="1" t="s">
        <v>55</v>
      </c>
      <c r="L7" s="1" t="s">
        <v>59</v>
      </c>
      <c r="M7" s="57" t="s">
        <v>97</v>
      </c>
      <c r="N7" s="1" t="s">
        <v>98</v>
      </c>
    </row>
    <row r="8" spans="1:14" x14ac:dyDescent="0.25">
      <c r="A8">
        <v>1</v>
      </c>
      <c r="B8">
        <v>2020</v>
      </c>
      <c r="C8" s="5">
        <v>1</v>
      </c>
      <c r="D8" s="5">
        <f>'Yearly Expenses'!$J2</f>
        <v>0</v>
      </c>
      <c r="E8" s="3">
        <f ca="1">Monthly!B36</f>
        <v>2</v>
      </c>
      <c r="F8" s="32">
        <f ca="1">E8*(48/AVERAGE_ENGAGEMENT)</f>
        <v>19.2</v>
      </c>
      <c r="G8" s="32"/>
      <c r="H8" s="32"/>
      <c r="I8" s="32">
        <f ca="1">40*E8</f>
        <v>80</v>
      </c>
      <c r="J8" s="26">
        <v>50</v>
      </c>
      <c r="K8" s="26">
        <f ca="1">(E8*40*J8*48)+(F8*MONTHLY_FEE *12)+(G8*Monthly!B5)+(H8*Monthly!B6)</f>
        <v>261120</v>
      </c>
      <c r="L8" s="26">
        <f>'Yearly Expenses'!H2</f>
        <v>59940</v>
      </c>
      <c r="M8" s="43">
        <f t="shared" ref="M8:M19" ca="1" si="0">K8-L8</f>
        <v>201180</v>
      </c>
      <c r="N8" s="43">
        <f t="shared" ref="N8:N11" ca="1" si="1">IF(M8 &gt; 0, M8*0.66, M8)</f>
        <v>132778.80000000002</v>
      </c>
    </row>
    <row r="9" spans="1:14" x14ac:dyDescent="0.25">
      <c r="A9">
        <v>2</v>
      </c>
      <c r="B9">
        <f>B8+1</f>
        <v>2021</v>
      </c>
      <c r="C9" s="5">
        <v>1</v>
      </c>
      <c r="D9" s="5">
        <f ca="1">'Yearly Expenses'!$J3</f>
        <v>5.5</v>
      </c>
      <c r="E9" s="3">
        <f t="shared" ref="E9:E19" ca="1" si="2">(POWER(E8*(1+GROWTH_RATE),MATURITY_CURVE)*(IF(C9 = 1, 1, 0.75)*C9))</f>
        <v>2.1298424851939699</v>
      </c>
      <c r="F9" s="32">
        <f ca="1">F8+ (ONGOING_PER_CUSTOMER*E9) * RETENTION_RATE</f>
        <v>29.167662830707776</v>
      </c>
      <c r="G9" s="32">
        <f t="shared" ref="G9:G19" ca="1" si="3">(2 *F9)</f>
        <v>58.335325661415553</v>
      </c>
      <c r="H9" s="32">
        <f t="shared" ref="H9:H19" ca="1" si="4">10*F9</f>
        <v>291.67662830707775</v>
      </c>
      <c r="I9" s="32">
        <f ca="1">40*E9</f>
        <v>85.1936994077588</v>
      </c>
      <c r="J9" s="26">
        <v>110</v>
      </c>
      <c r="K9" s="26">
        <f ca="1">(E9*40*J9*48)+(F9*MONTHLY_FEE *12)+(G9*Monthly!B6)+(H9*Monthly!B7)</f>
        <v>560659.85162965604</v>
      </c>
      <c r="L9" s="26">
        <f ca="1">'Yearly Expenses'!H3</f>
        <v>421477.41504150466</v>
      </c>
      <c r="M9" s="43">
        <f t="shared" ca="1" si="0"/>
        <v>139182.43658815138</v>
      </c>
      <c r="N9" s="43">
        <f t="shared" ca="1" si="1"/>
        <v>91860.408148179922</v>
      </c>
    </row>
    <row r="10" spans="1:14" x14ac:dyDescent="0.25">
      <c r="A10">
        <v>3</v>
      </c>
      <c r="B10">
        <f t="shared" ref="B10:B19" si="5">B9+1</f>
        <v>2022</v>
      </c>
      <c r="C10" s="5">
        <v>1</v>
      </c>
      <c r="D10" s="5">
        <f ca="1">'Yearly Expenses'!$J4</f>
        <v>5.5</v>
      </c>
      <c r="E10" s="3">
        <f t="shared" ca="1" si="2"/>
        <v>2.2187269293600642</v>
      </c>
      <c r="F10" s="32">
        <f t="shared" ref="F10:F19" ca="1" si="6">F9+ (ONGOING_PER_CUSTOMER*E10) * RETENTION_RATE</f>
        <v>39.551304860112879</v>
      </c>
      <c r="G10" s="32">
        <f t="shared" ca="1" si="3"/>
        <v>79.102609720225757</v>
      </c>
      <c r="H10" s="32">
        <f t="shared" ca="1" si="4"/>
        <v>395.51304860112879</v>
      </c>
      <c r="I10" s="32">
        <f t="shared" ref="I10:I19" ca="1" si="7">40*E10</f>
        <v>88.749077174402572</v>
      </c>
      <c r="J10" s="26">
        <v>120</v>
      </c>
      <c r="K10" s="26">
        <f ca="1">(E10*40*J10*48)+(F10*MONTHLY_FEE *12)+(G10*Monthly!B7)+(H10*Monthly!B8)</f>
        <v>655556.94726397085</v>
      </c>
      <c r="L10" s="26">
        <f ca="1">'Yearly Expenses'!H4</f>
        <v>415077.11493802042</v>
      </c>
      <c r="M10" s="43">
        <f t="shared" ca="1" si="0"/>
        <v>240479.83232595044</v>
      </c>
      <c r="N10" s="43">
        <f t="shared" ca="1" si="1"/>
        <v>158716.6893351273</v>
      </c>
    </row>
    <row r="11" spans="1:14" x14ac:dyDescent="0.25">
      <c r="A11">
        <v>4</v>
      </c>
      <c r="B11">
        <f t="shared" si="5"/>
        <v>2023</v>
      </c>
      <c r="C11" s="5">
        <v>1</v>
      </c>
      <c r="D11" s="5">
        <f ca="1">'Yearly Expenses'!$J5</f>
        <v>5.5</v>
      </c>
      <c r="E11" s="3">
        <f t="shared" ca="1" si="2"/>
        <v>2.2784814343726287</v>
      </c>
      <c r="F11" s="32">
        <f t="shared" ca="1" si="6"/>
        <v>50.214597972976783</v>
      </c>
      <c r="G11" s="32">
        <f ca="1">(2 *F11)</f>
        <v>100.42919594595357</v>
      </c>
      <c r="H11" s="32">
        <f t="shared" ca="1" si="4"/>
        <v>502.14597972976782</v>
      </c>
      <c r="I11" s="32">
        <f t="shared" ca="1" si="7"/>
        <v>91.139257374905156</v>
      </c>
      <c r="J11" s="26">
        <v>120</v>
      </c>
      <c r="K11" s="26">
        <f ca="1">(E11*40*J11*48)+(F11*MONTHLY_FEE *12)+(G11*Monthly!B8)+(H11*Monthly!B9)</f>
        <v>806666.01710785343</v>
      </c>
      <c r="L11" s="26">
        <f ca="1">'Yearly Expenses'!H5</f>
        <v>443770.20951106003</v>
      </c>
      <c r="M11" s="43">
        <f t="shared" ca="1" si="0"/>
        <v>362895.8075967934</v>
      </c>
      <c r="N11" s="43">
        <f t="shared" ca="1" si="1"/>
        <v>239511.23301388364</v>
      </c>
    </row>
    <row r="12" spans="1:14" ht="14.25" customHeight="1" x14ac:dyDescent="0.25">
      <c r="A12">
        <v>5</v>
      </c>
      <c r="B12">
        <f t="shared" si="5"/>
        <v>2024</v>
      </c>
      <c r="C12" s="5">
        <v>2</v>
      </c>
      <c r="D12" s="5">
        <f ca="1">'Yearly Expenses'!$J6</f>
        <v>5.5</v>
      </c>
      <c r="E12" s="3">
        <f t="shared" ca="1" si="2"/>
        <v>3.4772732451239623</v>
      </c>
      <c r="F12" s="32">
        <f t="shared" ca="1" si="6"/>
        <v>66.488236760156923</v>
      </c>
      <c r="G12" s="32">
        <f t="shared" ca="1" si="3"/>
        <v>132.97647352031385</v>
      </c>
      <c r="H12" s="32">
        <f t="shared" ca="1" si="4"/>
        <v>664.88236760156929</v>
      </c>
      <c r="I12" s="32">
        <f t="shared" ca="1" si="7"/>
        <v>139.09092980495848</v>
      </c>
      <c r="J12" s="26">
        <v>120</v>
      </c>
      <c r="K12" s="26">
        <f ca="1">(E12*40*J12*48)+(F12*MONTHLY_FEE *12)+(G12*Monthly!B9)+(H12*Monthly!B10)</f>
        <v>1067236.3815433569</v>
      </c>
      <c r="L12" s="26">
        <f ca="1">'Yearly Expenses'!H6</f>
        <v>725117.31671851792</v>
      </c>
      <c r="M12" s="43">
        <f t="shared" ca="1" si="0"/>
        <v>342119.06482483901</v>
      </c>
      <c r="N12" s="43">
        <f ca="1">IF(M12 &gt; 0, M12*0.66, M12)</f>
        <v>225798.58278439374</v>
      </c>
    </row>
    <row r="13" spans="1:14" x14ac:dyDescent="0.25">
      <c r="A13">
        <v>6</v>
      </c>
      <c r="B13">
        <f t="shared" si="5"/>
        <v>2025</v>
      </c>
      <c r="C13" s="5">
        <v>2</v>
      </c>
      <c r="D13" s="5">
        <f ca="1">'Yearly Expenses'!$J7</f>
        <v>12</v>
      </c>
      <c r="E13" s="3">
        <f t="shared" ca="1" si="2"/>
        <v>4.5769322110380806</v>
      </c>
      <c r="F13" s="32">
        <f t="shared" ca="1" si="6"/>
        <v>87.908279507815138</v>
      </c>
      <c r="G13" s="32">
        <f t="shared" ca="1" si="3"/>
        <v>175.81655901563028</v>
      </c>
      <c r="H13" s="32">
        <f t="shared" ca="1" si="4"/>
        <v>879.08279507815132</v>
      </c>
      <c r="I13" s="32">
        <f t="shared" ca="1" si="7"/>
        <v>183.07728844152322</v>
      </c>
      <c r="J13" s="26">
        <v>120</v>
      </c>
      <c r="K13" s="26">
        <f ca="1">(E13*40*J13*48)+(F13*MONTHLY_FEE *12)+(G13*Monthly!B10)+(H13*Monthly!B11)</f>
        <v>1374542.9658122438</v>
      </c>
      <c r="L13" s="26">
        <f ca="1">'Yearly Expenses'!H7</f>
        <v>1357154.0043042847</v>
      </c>
      <c r="M13" s="43">
        <f t="shared" ca="1" si="0"/>
        <v>17388.961507959059</v>
      </c>
      <c r="N13" s="43">
        <f t="shared" ref="N13:N19" ca="1" si="8">IF(M13 &gt; 0, M13*0.66, M13)</f>
        <v>11476.714595252979</v>
      </c>
    </row>
    <row r="14" spans="1:14" x14ac:dyDescent="0.25">
      <c r="A14">
        <v>7</v>
      </c>
      <c r="B14">
        <f t="shared" si="5"/>
        <v>2026</v>
      </c>
      <c r="C14" s="5">
        <v>3</v>
      </c>
      <c r="D14" s="5">
        <f ca="1">'Yearly Expenses'!$J8</f>
        <v>17</v>
      </c>
      <c r="E14" s="3">
        <f t="shared" ca="1" si="2"/>
        <v>8.2079351964765834</v>
      </c>
      <c r="F14" s="32">
        <f t="shared" ca="1" si="6"/>
        <v>126.32141622732556</v>
      </c>
      <c r="G14" s="32">
        <f t="shared" ca="1" si="3"/>
        <v>252.64283245465111</v>
      </c>
      <c r="H14" s="32">
        <f t="shared" ca="1" si="4"/>
        <v>1263.2141622732556</v>
      </c>
      <c r="I14" s="32">
        <f t="shared" ca="1" si="7"/>
        <v>328.31740785906334</v>
      </c>
      <c r="J14" s="26">
        <v>120</v>
      </c>
      <c r="K14" s="26">
        <f ca="1">(E14*40*J14*48)+(F14*MONTHLY_FEE *12)+(G14*Monthly!B11)+(H14*Monthly!B12)</f>
        <v>2351928.7956654881</v>
      </c>
      <c r="L14" s="26">
        <f ca="1">'Yearly Expenses'!H8</f>
        <v>1867252.1638190837</v>
      </c>
      <c r="M14" s="43">
        <f t="shared" ca="1" si="0"/>
        <v>484676.6318464044</v>
      </c>
      <c r="N14" s="43">
        <f t="shared" ca="1" si="8"/>
        <v>319886.57701862691</v>
      </c>
    </row>
    <row r="15" spans="1:14" x14ac:dyDescent="0.25">
      <c r="A15">
        <v>8</v>
      </c>
      <c r="B15">
        <f t="shared" si="5"/>
        <v>2027</v>
      </c>
      <c r="C15" s="5">
        <v>3</v>
      </c>
      <c r="D15" s="5">
        <f ca="1">'Yearly Expenses'!$J9</f>
        <v>17</v>
      </c>
      <c r="E15" s="3">
        <f t="shared" ca="1" si="2"/>
        <v>11.998102122556169</v>
      </c>
      <c r="F15" s="32">
        <f t="shared" ca="1" si="6"/>
        <v>182.47253416088842</v>
      </c>
      <c r="G15" s="32">
        <f t="shared" ca="1" si="3"/>
        <v>364.94506832177683</v>
      </c>
      <c r="H15" s="32">
        <f t="shared" ca="1" si="4"/>
        <v>1824.7253416088843</v>
      </c>
      <c r="I15" s="32">
        <f t="shared" ca="1" si="7"/>
        <v>479.92408490224676</v>
      </c>
      <c r="J15" s="26">
        <v>120</v>
      </c>
      <c r="K15" s="26">
        <f ca="1">(E15*40*J15*48)+(F15*MONTHLY_FEE *12)+(G15*Monthly!B12)+(H15*Monthly!B13)</f>
        <v>3426373.0829726448</v>
      </c>
      <c r="L15" s="26">
        <f ca="1">'Yearly Expenses'!H9</f>
        <v>2042232.0286506489</v>
      </c>
      <c r="M15" s="43">
        <f t="shared" ca="1" si="0"/>
        <v>1384141.0543219959</v>
      </c>
      <c r="N15" s="43">
        <f t="shared" ca="1" si="8"/>
        <v>913533.09585251741</v>
      </c>
    </row>
    <row r="16" spans="1:14" x14ac:dyDescent="0.25">
      <c r="A16">
        <v>9</v>
      </c>
      <c r="B16">
        <f t="shared" si="5"/>
        <v>2028</v>
      </c>
      <c r="C16" s="5">
        <v>3</v>
      </c>
      <c r="D16" s="5">
        <f ca="1">'Yearly Expenses'!$J10</f>
        <v>17</v>
      </c>
      <c r="E16" s="3">
        <f t="shared" ca="1" si="2"/>
        <v>15.356196721211393</v>
      </c>
      <c r="F16" s="32">
        <f t="shared" ca="1" si="6"/>
        <v>254.33953481615774</v>
      </c>
      <c r="G16" s="32">
        <f t="shared" ca="1" si="3"/>
        <v>508.67906963231547</v>
      </c>
      <c r="H16" s="32">
        <f t="shared" ca="1" si="4"/>
        <v>2543.3953481615772</v>
      </c>
      <c r="I16" s="32">
        <f t="shared" ca="1" si="7"/>
        <v>614.24786884845571</v>
      </c>
      <c r="J16" s="26">
        <v>120</v>
      </c>
      <c r="K16" s="26">
        <f ca="1">(E16*40*J16*48)+(F16*MONTHLY_FEE *12)+(G16*Monthly!B13)+(H16*Monthly!B14)</f>
        <v>4485277.0636714799</v>
      </c>
      <c r="L16" s="26">
        <f ca="1">'Yearly Expenses'!H10</f>
        <v>2273708.5296827909</v>
      </c>
      <c r="M16" s="43">
        <f t="shared" ca="1" si="0"/>
        <v>2211568.5339886891</v>
      </c>
      <c r="N16" s="43">
        <f t="shared" ca="1" si="8"/>
        <v>1459635.2324325349</v>
      </c>
    </row>
    <row r="17" spans="1:14" x14ac:dyDescent="0.25">
      <c r="A17">
        <v>10</v>
      </c>
      <c r="B17">
        <f t="shared" si="5"/>
        <v>2029</v>
      </c>
      <c r="C17" s="5">
        <v>4</v>
      </c>
      <c r="D17" s="5">
        <f ca="1">'Yearly Expenses'!$J11</f>
        <v>32</v>
      </c>
      <c r="E17" s="3">
        <f t="shared" ca="1" si="2"/>
        <v>24.037186163857282</v>
      </c>
      <c r="F17" s="32">
        <f t="shared" ca="1" si="6"/>
        <v>366.83356606300981</v>
      </c>
      <c r="G17" s="32">
        <f t="shared" ca="1" si="3"/>
        <v>733.66713212601962</v>
      </c>
      <c r="H17" s="32">
        <f t="shared" ca="1" si="4"/>
        <v>3668.3356606300981</v>
      </c>
      <c r="I17" s="32">
        <f t="shared" ca="1" si="7"/>
        <v>961.4874465542913</v>
      </c>
      <c r="J17" s="26">
        <v>120</v>
      </c>
      <c r="K17" s="26">
        <f ca="1">(E17*40*J17*48)+(F17*MONTHLY_FEE *12)+(G17*Monthly!B14)+(H17*Monthly!B15)</f>
        <v>7114493.852475401</v>
      </c>
      <c r="L17" s="26">
        <f ca="1">'Yearly Expenses'!H11</f>
        <v>4305609.6887302054</v>
      </c>
      <c r="M17" s="43">
        <f t="shared" ca="1" si="0"/>
        <v>2808884.1637451956</v>
      </c>
      <c r="N17" s="43">
        <f t="shared" ca="1" si="8"/>
        <v>1853863.5480718291</v>
      </c>
    </row>
    <row r="18" spans="1:14" x14ac:dyDescent="0.25">
      <c r="A18">
        <v>11</v>
      </c>
      <c r="B18">
        <f t="shared" si="5"/>
        <v>2030</v>
      </c>
      <c r="C18" s="5">
        <v>4</v>
      </c>
      <c r="D18" s="5">
        <f ca="1">'Yearly Expenses'!$J12</f>
        <v>56</v>
      </c>
      <c r="E18" s="3">
        <f t="shared" ca="1" si="2"/>
        <v>32.164262734716061</v>
      </c>
      <c r="F18" s="32">
        <f t="shared" ca="1" si="6"/>
        <v>517.36231566148103</v>
      </c>
      <c r="G18" s="32">
        <f t="shared" ca="1" si="3"/>
        <v>1034.7246313229621</v>
      </c>
      <c r="H18" s="32">
        <f t="shared" ca="1" si="4"/>
        <v>5173.6231566148108</v>
      </c>
      <c r="I18" s="32">
        <f t="shared" ca="1" si="7"/>
        <v>1286.5705093886424</v>
      </c>
      <c r="J18" s="26">
        <v>120</v>
      </c>
      <c r="K18" s="26">
        <f ca="1">(E18*40*J18*48)+(F18*MONTHLY_FEE *12)+(G18*Monthly!B15)+(H18*Monthly!B16)</f>
        <v>9628837.0624771807</v>
      </c>
      <c r="L18" s="26">
        <f ca="1">'Yearly Expenses'!H12</f>
        <v>6672025.278034592</v>
      </c>
      <c r="M18" s="43">
        <f t="shared" ca="1" si="0"/>
        <v>2956811.7844425887</v>
      </c>
      <c r="N18" s="43">
        <f t="shared" ca="1" si="8"/>
        <v>1951495.7777321087</v>
      </c>
    </row>
    <row r="19" spans="1:14" x14ac:dyDescent="0.25">
      <c r="A19">
        <v>12</v>
      </c>
      <c r="B19">
        <f t="shared" si="5"/>
        <v>2031</v>
      </c>
      <c r="C19" s="5">
        <v>4</v>
      </c>
      <c r="D19" s="5">
        <f ca="1">'Yearly Expenses'!$J13</f>
        <v>56</v>
      </c>
      <c r="E19" s="3">
        <f t="shared" ca="1" si="2"/>
        <v>38.867990159093232</v>
      </c>
      <c r="F19" s="32">
        <f t="shared" ca="1" si="6"/>
        <v>699.26450960603734</v>
      </c>
      <c r="G19" s="32">
        <f t="shared" ca="1" si="3"/>
        <v>1398.5290192120747</v>
      </c>
      <c r="H19" s="32">
        <f t="shared" ca="1" si="4"/>
        <v>6992.6450960603734</v>
      </c>
      <c r="I19" s="32">
        <f t="shared" ca="1" si="7"/>
        <v>1554.7196063637293</v>
      </c>
      <c r="J19" s="26">
        <v>120</v>
      </c>
      <c r="K19" s="26">
        <f ca="1">(E19*40*J19*48)+(F19*MONTHLY_FEE *12)+(G19*Monthly!B16)+(H19*Monthly!B17)</f>
        <v>12323084.864017237</v>
      </c>
      <c r="L19" s="26">
        <f ca="1">'Yearly Expenses'!H13</f>
        <v>7525299.4110788833</v>
      </c>
      <c r="M19" s="43">
        <f t="shared" ca="1" si="0"/>
        <v>4797785.4529383536</v>
      </c>
      <c r="N19" s="43">
        <f t="shared" ca="1" si="8"/>
        <v>3166538.3989393134</v>
      </c>
    </row>
    <row r="30" spans="1:14" x14ac:dyDescent="0.25">
      <c r="I30" s="46"/>
      <c r="J30" s="41"/>
      <c r="L30" s="41"/>
    </row>
    <row r="37" spans="9:12" x14ac:dyDescent="0.25">
      <c r="I37" s="5"/>
      <c r="J37" s="43"/>
      <c r="K37" s="64"/>
      <c r="L37"/>
    </row>
    <row r="38" spans="9:12" x14ac:dyDescent="0.25">
      <c r="I38" s="5"/>
      <c r="J38" s="43"/>
      <c r="K38" s="64"/>
      <c r="L38"/>
    </row>
    <row r="39" spans="9:12" x14ac:dyDescent="0.25">
      <c r="I39" s="5"/>
      <c r="J39" s="43"/>
      <c r="K39" s="64"/>
      <c r="L39"/>
    </row>
    <row r="40" spans="9:12" x14ac:dyDescent="0.25">
      <c r="I40" s="5"/>
      <c r="J40" s="43"/>
      <c r="K40" s="64"/>
      <c r="L40"/>
    </row>
    <row r="41" spans="9:12" x14ac:dyDescent="0.25">
      <c r="I41" s="5"/>
      <c r="J41" s="43"/>
      <c r="K41" s="64"/>
      <c r="L41"/>
    </row>
    <row r="42" spans="9:12" x14ac:dyDescent="0.25">
      <c r="I42" s="5"/>
      <c r="J42" s="43"/>
      <c r="K42" s="64"/>
      <c r="L42"/>
    </row>
    <row r="43" spans="9:12" x14ac:dyDescent="0.25">
      <c r="I43" s="5"/>
      <c r="J43" s="43"/>
      <c r="K43" s="64"/>
      <c r="L43"/>
    </row>
    <row r="44" spans="9:12" x14ac:dyDescent="0.25">
      <c r="I44" s="5"/>
      <c r="J44" s="43"/>
      <c r="K44" s="64"/>
      <c r="L44"/>
    </row>
    <row r="45" spans="9:12" x14ac:dyDescent="0.25">
      <c r="I45" s="5"/>
      <c r="J45" s="43"/>
      <c r="K45" s="64"/>
      <c r="L45"/>
    </row>
    <row r="46" spans="9:12" x14ac:dyDescent="0.25">
      <c r="I46" s="5"/>
      <c r="J46" s="43"/>
      <c r="K46" s="64"/>
      <c r="L46"/>
    </row>
    <row r="47" spans="9:12" x14ac:dyDescent="0.25">
      <c r="I47" s="46"/>
      <c r="J47" s="41"/>
      <c r="L47" s="41"/>
    </row>
    <row r="48" spans="9:12" x14ac:dyDescent="0.25">
      <c r="I48" s="46"/>
      <c r="J48" s="41"/>
      <c r="L48" s="41"/>
    </row>
    <row r="49" spans="9:12" x14ac:dyDescent="0.25">
      <c r="I49" s="46"/>
      <c r="J49" s="41"/>
      <c r="L49" s="41"/>
    </row>
    <row r="50" spans="9:12" x14ac:dyDescent="0.25">
      <c r="I50" s="46"/>
      <c r="J50" s="41"/>
      <c r="L50" s="41"/>
    </row>
    <row r="51" spans="9:12" x14ac:dyDescent="0.25">
      <c r="I51" s="46"/>
      <c r="J51" s="41"/>
      <c r="L51" s="41"/>
    </row>
    <row r="52" spans="9:12" x14ac:dyDescent="0.25">
      <c r="I52" s="46"/>
      <c r="J52" s="41"/>
      <c r="L52" s="41"/>
    </row>
    <row r="53" spans="9:12" x14ac:dyDescent="0.25">
      <c r="I53" s="46"/>
      <c r="J53" s="41"/>
      <c r="L53" s="4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1"/>
  <sheetViews>
    <sheetView topLeftCell="A16" workbookViewId="0">
      <selection activeCell="K32" sqref="K32"/>
    </sheetView>
  </sheetViews>
  <sheetFormatPr defaultRowHeight="15" x14ac:dyDescent="0.25"/>
  <cols>
    <col min="1" max="1" width="32.5703125" customWidth="1"/>
    <col min="2" max="2" width="9.7109375" customWidth="1"/>
    <col min="3" max="8" width="12.7109375" customWidth="1"/>
    <col min="9" max="9" width="13.42578125" customWidth="1"/>
    <col min="10" max="10" width="12.28515625" customWidth="1"/>
    <col min="11" max="15" width="9.7109375" customWidth="1"/>
    <col min="16" max="16" width="10.7109375" customWidth="1"/>
  </cols>
  <sheetData>
    <row r="1" spans="1:3" x14ac:dyDescent="0.25">
      <c r="B1" s="1" t="s">
        <v>60</v>
      </c>
      <c r="C1" s="1" t="s">
        <v>61</v>
      </c>
    </row>
    <row r="2" spans="1:3" x14ac:dyDescent="0.25">
      <c r="A2" s="12" t="s">
        <v>2</v>
      </c>
      <c r="B2" s="2">
        <v>25000</v>
      </c>
      <c r="C2" s="2">
        <f t="shared" ref="C2:C10" si="0">B2/52/40</f>
        <v>12.01923076923077</v>
      </c>
    </row>
    <row r="3" spans="1:3" x14ac:dyDescent="0.25">
      <c r="A3" s="37" t="s">
        <v>1</v>
      </c>
      <c r="B3" s="2">
        <v>40000</v>
      </c>
      <c r="C3" s="2">
        <f t="shared" si="0"/>
        <v>19.230769230769234</v>
      </c>
    </row>
    <row r="4" spans="1:3" x14ac:dyDescent="0.25">
      <c r="A4" s="37" t="s">
        <v>3</v>
      </c>
      <c r="B4" s="2">
        <v>75000</v>
      </c>
      <c r="C4" s="2">
        <f t="shared" si="0"/>
        <v>36.057692307692307</v>
      </c>
    </row>
    <row r="5" spans="1:3" x14ac:dyDescent="0.25">
      <c r="A5" s="6" t="s">
        <v>4</v>
      </c>
      <c r="B5" s="2">
        <v>80000</v>
      </c>
      <c r="C5" s="2">
        <f t="shared" si="0"/>
        <v>38.461538461538467</v>
      </c>
    </row>
    <row r="6" spans="1:3" x14ac:dyDescent="0.25">
      <c r="A6" s="6" t="s">
        <v>5</v>
      </c>
      <c r="B6" s="2">
        <v>40000</v>
      </c>
      <c r="C6" s="2">
        <f t="shared" si="0"/>
        <v>19.230769230769234</v>
      </c>
    </row>
    <row r="7" spans="1:3" x14ac:dyDescent="0.25">
      <c r="A7" s="6" t="s">
        <v>6</v>
      </c>
      <c r="B7" s="2">
        <v>75000</v>
      </c>
      <c r="C7" s="2">
        <f t="shared" si="0"/>
        <v>36.057692307692307</v>
      </c>
    </row>
    <row r="8" spans="1:3" x14ac:dyDescent="0.25">
      <c r="A8" s="6" t="s">
        <v>7</v>
      </c>
      <c r="B8" s="2">
        <v>30000</v>
      </c>
      <c r="C8" s="2">
        <f t="shared" si="0"/>
        <v>14.423076923076923</v>
      </c>
    </row>
    <row r="9" spans="1:3" x14ac:dyDescent="0.25">
      <c r="A9" s="6" t="s">
        <v>11</v>
      </c>
      <c r="B9" s="2">
        <v>60000</v>
      </c>
      <c r="C9" s="2">
        <f t="shared" si="0"/>
        <v>28.846153846153847</v>
      </c>
    </row>
    <row r="10" spans="1:3" x14ac:dyDescent="0.25">
      <c r="A10" s="6" t="s">
        <v>12</v>
      </c>
      <c r="B10" s="2">
        <v>35000</v>
      </c>
      <c r="C10" s="2">
        <f t="shared" si="0"/>
        <v>16.826923076923077</v>
      </c>
    </row>
    <row r="11" spans="1:3" x14ac:dyDescent="0.25">
      <c r="A11" s="52" t="s">
        <v>142</v>
      </c>
      <c r="B11" s="2">
        <v>100000</v>
      </c>
      <c r="C11" s="71">
        <f>B11/52/40</f>
        <v>48.07692307692308</v>
      </c>
    </row>
    <row r="13" spans="1:3" x14ac:dyDescent="0.25">
      <c r="A13" t="s">
        <v>81</v>
      </c>
      <c r="B13" s="11">
        <v>0.08</v>
      </c>
    </row>
    <row r="14" spans="1:3" x14ac:dyDescent="0.25">
      <c r="A14" t="s">
        <v>82</v>
      </c>
      <c r="B14" s="43">
        <v>10000</v>
      </c>
    </row>
    <row r="15" spans="1:3" x14ac:dyDescent="0.25">
      <c r="A15" t="s">
        <v>76</v>
      </c>
      <c r="B15" s="43">
        <v>1000</v>
      </c>
    </row>
    <row r="16" spans="1:3" x14ac:dyDescent="0.25">
      <c r="A16" t="s">
        <v>86</v>
      </c>
      <c r="B16" s="11">
        <v>0.1</v>
      </c>
    </row>
    <row r="17" spans="1:10" x14ac:dyDescent="0.25">
      <c r="A17" t="s">
        <v>145</v>
      </c>
      <c r="B17" s="5">
        <v>200</v>
      </c>
    </row>
    <row r="19" spans="1:10" x14ac:dyDescent="0.25">
      <c r="A19" s="49" t="s">
        <v>80</v>
      </c>
    </row>
    <row r="20" spans="1:10" s="54" customFormat="1" x14ac:dyDescent="0.25">
      <c r="A20" s="53" t="s">
        <v>79</v>
      </c>
      <c r="C20" s="54">
        <v>40</v>
      </c>
      <c r="D20" s="54">
        <v>60</v>
      </c>
      <c r="E20" s="54">
        <v>80</v>
      </c>
      <c r="F20" s="54">
        <f>E20*2</f>
        <v>160</v>
      </c>
      <c r="G20" s="54">
        <f>F20*2</f>
        <v>320</v>
      </c>
      <c r="H20" s="54">
        <f>G20*2</f>
        <v>640</v>
      </c>
      <c r="I20" s="54">
        <f>H20*2</f>
        <v>1280</v>
      </c>
      <c r="J20" s="54">
        <f>I20*2</f>
        <v>2560</v>
      </c>
    </row>
    <row r="21" spans="1:10" s="54" customFormat="1" x14ac:dyDescent="0.25">
      <c r="A21" s="53" t="s">
        <v>103</v>
      </c>
      <c r="C21" s="54">
        <f t="shared" ref="C21:H21" si="1">ROUNDUP(C20/AVERAGE_ENGAGEMENT_HOURS, 0)</f>
        <v>1</v>
      </c>
      <c r="D21" s="54">
        <f t="shared" si="1"/>
        <v>1</v>
      </c>
      <c r="E21" s="54">
        <f t="shared" si="1"/>
        <v>1</v>
      </c>
      <c r="F21" s="54">
        <f t="shared" si="1"/>
        <v>1</v>
      </c>
      <c r="G21" s="54">
        <f t="shared" si="1"/>
        <v>2</v>
      </c>
      <c r="H21" s="54">
        <f t="shared" si="1"/>
        <v>4</v>
      </c>
      <c r="I21" s="54">
        <f t="shared" ref="I21:J21" si="2">ROUNDUP(I20/AVERAGE_ENGAGEMENT_HOURS, 0)</f>
        <v>7</v>
      </c>
      <c r="J21" s="54">
        <f t="shared" si="2"/>
        <v>13</v>
      </c>
    </row>
    <row r="22" spans="1:10" s="54" customFormat="1" x14ac:dyDescent="0.25">
      <c r="A22" s="53" t="s">
        <v>138</v>
      </c>
      <c r="E22" s="54">
        <v>75</v>
      </c>
      <c r="F22" s="54">
        <v>160</v>
      </c>
      <c r="G22" s="54">
        <v>237</v>
      </c>
      <c r="H22" s="54">
        <v>500</v>
      </c>
      <c r="I22" s="54">
        <v>1036</v>
      </c>
      <c r="J22" s="54">
        <f>I22*2</f>
        <v>2072</v>
      </c>
    </row>
    <row r="24" spans="1:10" x14ac:dyDescent="0.25">
      <c r="A24" s="6" t="s">
        <v>2</v>
      </c>
      <c r="C24">
        <v>1</v>
      </c>
      <c r="D24">
        <v>1</v>
      </c>
      <c r="E24">
        <v>1</v>
      </c>
      <c r="F24">
        <v>1</v>
      </c>
      <c r="G24">
        <v>1</v>
      </c>
      <c r="H24">
        <v>2</v>
      </c>
      <c r="I24">
        <v>2</v>
      </c>
      <c r="J24">
        <v>2</v>
      </c>
    </row>
    <row r="25" spans="1:10" x14ac:dyDescent="0.25">
      <c r="A25" s="6" t="s">
        <v>1</v>
      </c>
      <c r="H25">
        <v>1</v>
      </c>
      <c r="I25">
        <v>1</v>
      </c>
      <c r="J25">
        <v>1</v>
      </c>
    </row>
    <row r="26" spans="1:10" x14ac:dyDescent="0.25">
      <c r="A26" s="6" t="s">
        <v>3</v>
      </c>
      <c r="F26">
        <v>1</v>
      </c>
      <c r="G26">
        <v>1</v>
      </c>
      <c r="H26">
        <v>1</v>
      </c>
      <c r="I26">
        <v>1</v>
      </c>
      <c r="J26">
        <v>1</v>
      </c>
    </row>
    <row r="27" spans="1:10" x14ac:dyDescent="0.25">
      <c r="A27" s="6" t="s">
        <v>4</v>
      </c>
      <c r="F27">
        <v>1</v>
      </c>
      <c r="G27">
        <v>1</v>
      </c>
      <c r="H27">
        <v>2</v>
      </c>
      <c r="I27">
        <v>4</v>
      </c>
      <c r="J27">
        <v>8</v>
      </c>
    </row>
    <row r="28" spans="1:10" x14ac:dyDescent="0.25">
      <c r="A28" s="6" t="s">
        <v>5</v>
      </c>
      <c r="C28">
        <v>0.5</v>
      </c>
      <c r="D28">
        <v>1</v>
      </c>
      <c r="E28">
        <v>1</v>
      </c>
      <c r="F28">
        <v>1</v>
      </c>
      <c r="G28">
        <v>1</v>
      </c>
      <c r="H28">
        <v>2</v>
      </c>
      <c r="I28">
        <v>4</v>
      </c>
      <c r="J28">
        <v>8</v>
      </c>
    </row>
    <row r="29" spans="1:10" x14ac:dyDescent="0.25">
      <c r="A29" s="6" t="s">
        <v>6</v>
      </c>
      <c r="C29">
        <v>0.8</v>
      </c>
      <c r="D29">
        <v>1.1000000000000001</v>
      </c>
      <c r="E29">
        <v>1.5</v>
      </c>
      <c r="F29">
        <v>3</v>
      </c>
      <c r="G29">
        <v>6</v>
      </c>
      <c r="H29">
        <v>12</v>
      </c>
      <c r="I29">
        <v>24</v>
      </c>
      <c r="J29">
        <v>48</v>
      </c>
    </row>
    <row r="30" spans="1:10" x14ac:dyDescent="0.25">
      <c r="A30" s="6" t="s">
        <v>7</v>
      </c>
      <c r="C30">
        <v>0.3</v>
      </c>
      <c r="D30">
        <v>0.3</v>
      </c>
      <c r="E30">
        <v>0.5</v>
      </c>
      <c r="F30">
        <v>1</v>
      </c>
      <c r="G30">
        <v>2</v>
      </c>
      <c r="H30">
        <v>3</v>
      </c>
      <c r="I30">
        <v>5</v>
      </c>
      <c r="J30">
        <v>10</v>
      </c>
    </row>
    <row r="31" spans="1:10" x14ac:dyDescent="0.25">
      <c r="A31" s="52" t="s">
        <v>117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</row>
    <row r="32" spans="1:10" x14ac:dyDescent="0.25">
      <c r="A32" s="6" t="s">
        <v>132</v>
      </c>
      <c r="D32">
        <v>0.25</v>
      </c>
      <c r="E32">
        <v>0.5</v>
      </c>
      <c r="F32">
        <v>1</v>
      </c>
      <c r="G32">
        <v>1</v>
      </c>
      <c r="H32">
        <v>2</v>
      </c>
      <c r="I32">
        <v>2</v>
      </c>
      <c r="J32">
        <v>2</v>
      </c>
    </row>
    <row r="33" spans="1:10" x14ac:dyDescent="0.25">
      <c r="A33" s="6" t="s">
        <v>12</v>
      </c>
      <c r="F33">
        <f>ROUNDUP(F22/CALL_CAPACITY, 0)</f>
        <v>1</v>
      </c>
      <c r="G33">
        <f>ROUNDUP(G22/CALL_CAPACITY, 0)</f>
        <v>2</v>
      </c>
      <c r="H33">
        <f>ROUNDUP(H22/CALL_CAPACITY, 0)</f>
        <v>3</v>
      </c>
      <c r="I33">
        <f>ROUNDUP(I22/CALL_CAPACITY, 0)</f>
        <v>6</v>
      </c>
      <c r="J33">
        <f>ROUNDUP(J22/CALL_CAPACITY, 0)</f>
        <v>11</v>
      </c>
    </row>
    <row r="34" spans="1:10" x14ac:dyDescent="0.25">
      <c r="A34" s="52" t="s">
        <v>142</v>
      </c>
      <c r="C34">
        <f>ROUNDDOWN(C48/8, 0)</f>
        <v>0</v>
      </c>
      <c r="D34">
        <f t="shared" ref="D34:J34" si="3">ROUNDDOWN(D48/8, 0)</f>
        <v>0</v>
      </c>
      <c r="E34">
        <f t="shared" si="3"/>
        <v>0</v>
      </c>
      <c r="F34">
        <f t="shared" si="3"/>
        <v>1</v>
      </c>
      <c r="G34">
        <f t="shared" si="3"/>
        <v>1</v>
      </c>
      <c r="H34">
        <f t="shared" si="3"/>
        <v>3</v>
      </c>
      <c r="I34">
        <f t="shared" si="3"/>
        <v>6</v>
      </c>
      <c r="J34">
        <f t="shared" si="3"/>
        <v>11</v>
      </c>
    </row>
    <row r="35" spans="1:10" x14ac:dyDescent="0.25">
      <c r="A35" s="6"/>
    </row>
    <row r="36" spans="1:10" s="43" customFormat="1" x14ac:dyDescent="0.25">
      <c r="A36" s="7" t="s">
        <v>2</v>
      </c>
      <c r="C36" s="43">
        <f t="shared" ref="C36:J36" si="4">((((C20 * 48) *BILLABLE_RATE) * COMMISSION) + $B2) *C24</f>
        <v>34600</v>
      </c>
      <c r="D36" s="43">
        <f t="shared" si="4"/>
        <v>39400</v>
      </c>
      <c r="E36" s="43">
        <f t="shared" si="4"/>
        <v>44200</v>
      </c>
      <c r="F36" s="43">
        <f t="shared" si="4"/>
        <v>63400</v>
      </c>
      <c r="G36" s="43">
        <f t="shared" si="4"/>
        <v>101800</v>
      </c>
      <c r="H36" s="43">
        <f t="shared" si="4"/>
        <v>357200</v>
      </c>
      <c r="I36" s="43">
        <f t="shared" si="4"/>
        <v>664400</v>
      </c>
      <c r="J36" s="43">
        <f t="shared" si="4"/>
        <v>1278800</v>
      </c>
    </row>
    <row r="37" spans="1:10" x14ac:dyDescent="0.25">
      <c r="A37" s="52" t="s">
        <v>116</v>
      </c>
      <c r="C37" s="43">
        <v>30000</v>
      </c>
      <c r="D37" s="43">
        <v>30000</v>
      </c>
      <c r="E37" s="43">
        <v>30000</v>
      </c>
      <c r="F37" s="43">
        <v>30000</v>
      </c>
      <c r="G37" s="43">
        <v>30000</v>
      </c>
      <c r="H37" s="43">
        <v>30000</v>
      </c>
      <c r="I37" s="43">
        <v>30001</v>
      </c>
      <c r="J37" s="43">
        <v>30002</v>
      </c>
    </row>
    <row r="38" spans="1:10" s="43" customFormat="1" x14ac:dyDescent="0.25">
      <c r="A38" s="7" t="s">
        <v>1</v>
      </c>
      <c r="C38" s="43">
        <f t="shared" ref="C38:J43" si="5">C25*$B3</f>
        <v>0</v>
      </c>
      <c r="D38" s="43">
        <f t="shared" si="5"/>
        <v>0</v>
      </c>
      <c r="E38" s="43">
        <f t="shared" si="5"/>
        <v>0</v>
      </c>
      <c r="F38" s="43">
        <f t="shared" si="5"/>
        <v>0</v>
      </c>
      <c r="G38" s="43">
        <f t="shared" si="5"/>
        <v>0</v>
      </c>
      <c r="H38" s="43">
        <f t="shared" si="5"/>
        <v>40000</v>
      </c>
      <c r="I38" s="43">
        <f t="shared" si="5"/>
        <v>40000</v>
      </c>
      <c r="J38" s="43">
        <f t="shared" si="5"/>
        <v>40000</v>
      </c>
    </row>
    <row r="39" spans="1:10" s="43" customFormat="1" x14ac:dyDescent="0.25">
      <c r="A39" s="7" t="s">
        <v>3</v>
      </c>
      <c r="C39" s="43">
        <f t="shared" si="5"/>
        <v>0</v>
      </c>
      <c r="D39" s="43">
        <f t="shared" si="5"/>
        <v>0</v>
      </c>
      <c r="E39" s="43">
        <f t="shared" si="5"/>
        <v>0</v>
      </c>
      <c r="F39" s="43">
        <f t="shared" si="5"/>
        <v>75000</v>
      </c>
      <c r="G39" s="43">
        <f t="shared" si="5"/>
        <v>75000</v>
      </c>
      <c r="H39" s="43">
        <f t="shared" si="5"/>
        <v>75000</v>
      </c>
      <c r="I39" s="43">
        <f t="shared" si="5"/>
        <v>75000</v>
      </c>
      <c r="J39" s="43">
        <f t="shared" si="5"/>
        <v>75000</v>
      </c>
    </row>
    <row r="40" spans="1:10" s="43" customFormat="1" x14ac:dyDescent="0.25">
      <c r="A40" s="7" t="s">
        <v>4</v>
      </c>
      <c r="C40" s="43">
        <f t="shared" si="5"/>
        <v>0</v>
      </c>
      <c r="D40" s="43">
        <f t="shared" si="5"/>
        <v>0</v>
      </c>
      <c r="E40" s="43">
        <f t="shared" si="5"/>
        <v>0</v>
      </c>
      <c r="F40" s="43">
        <f t="shared" si="5"/>
        <v>80000</v>
      </c>
      <c r="G40" s="43">
        <f t="shared" si="5"/>
        <v>80000</v>
      </c>
      <c r="H40" s="43">
        <f t="shared" si="5"/>
        <v>160000</v>
      </c>
      <c r="I40" s="43">
        <f t="shared" si="5"/>
        <v>320000</v>
      </c>
      <c r="J40" s="43">
        <f t="shared" si="5"/>
        <v>640000</v>
      </c>
    </row>
    <row r="41" spans="1:10" s="43" customFormat="1" x14ac:dyDescent="0.25">
      <c r="A41" s="7" t="s">
        <v>5</v>
      </c>
      <c r="C41" s="43">
        <f t="shared" si="5"/>
        <v>20000</v>
      </c>
      <c r="D41" s="43">
        <f t="shared" si="5"/>
        <v>40000</v>
      </c>
      <c r="E41" s="43">
        <f t="shared" si="5"/>
        <v>40000</v>
      </c>
      <c r="F41" s="43">
        <f t="shared" si="5"/>
        <v>40000</v>
      </c>
      <c r="G41" s="43">
        <f t="shared" si="5"/>
        <v>40000</v>
      </c>
      <c r="H41" s="43">
        <f t="shared" si="5"/>
        <v>80000</v>
      </c>
      <c r="I41" s="43">
        <f t="shared" si="5"/>
        <v>160000</v>
      </c>
      <c r="J41" s="43">
        <f t="shared" si="5"/>
        <v>320000</v>
      </c>
    </row>
    <row r="42" spans="1:10" s="43" customFormat="1" x14ac:dyDescent="0.25">
      <c r="A42" s="7" t="s">
        <v>6</v>
      </c>
      <c r="C42" s="43">
        <f t="shared" si="5"/>
        <v>60000</v>
      </c>
      <c r="D42" s="43">
        <f t="shared" si="5"/>
        <v>82500</v>
      </c>
      <c r="E42" s="43">
        <f t="shared" si="5"/>
        <v>112500</v>
      </c>
      <c r="F42" s="43">
        <f t="shared" si="5"/>
        <v>225000</v>
      </c>
      <c r="G42" s="43">
        <f t="shared" si="5"/>
        <v>450000</v>
      </c>
      <c r="H42" s="43">
        <f t="shared" si="5"/>
        <v>900000</v>
      </c>
      <c r="I42" s="43">
        <f t="shared" si="5"/>
        <v>1800000</v>
      </c>
      <c r="J42" s="43">
        <f t="shared" si="5"/>
        <v>3600000</v>
      </c>
    </row>
    <row r="43" spans="1:10" s="43" customFormat="1" x14ac:dyDescent="0.25">
      <c r="A43" s="7" t="s">
        <v>7</v>
      </c>
      <c r="C43" s="43">
        <f t="shared" si="5"/>
        <v>9000</v>
      </c>
      <c r="D43" s="43">
        <f t="shared" si="5"/>
        <v>9000</v>
      </c>
      <c r="E43" s="43">
        <f t="shared" si="5"/>
        <v>15000</v>
      </c>
      <c r="F43" s="43">
        <f t="shared" si="5"/>
        <v>30000</v>
      </c>
      <c r="G43" s="43">
        <f t="shared" si="5"/>
        <v>60000</v>
      </c>
      <c r="H43" s="43">
        <f t="shared" si="5"/>
        <v>90000</v>
      </c>
      <c r="I43" s="43">
        <f t="shared" si="5"/>
        <v>150000</v>
      </c>
      <c r="J43" s="43">
        <f t="shared" si="5"/>
        <v>300000</v>
      </c>
    </row>
    <row r="44" spans="1:10" s="43" customFormat="1" x14ac:dyDescent="0.25">
      <c r="A44" s="7" t="s">
        <v>11</v>
      </c>
      <c r="C44" s="43">
        <f t="shared" ref="C44:J45" si="6">C32*$B9</f>
        <v>0</v>
      </c>
      <c r="D44" s="43">
        <f t="shared" si="6"/>
        <v>15000</v>
      </c>
      <c r="E44" s="43">
        <f t="shared" si="6"/>
        <v>30000</v>
      </c>
      <c r="F44" s="43">
        <f t="shared" si="6"/>
        <v>60000</v>
      </c>
      <c r="G44" s="43">
        <f t="shared" si="6"/>
        <v>60000</v>
      </c>
      <c r="H44" s="43">
        <f t="shared" si="6"/>
        <v>120000</v>
      </c>
      <c r="I44" s="43">
        <f t="shared" si="6"/>
        <v>120000</v>
      </c>
      <c r="J44" s="43">
        <f t="shared" si="6"/>
        <v>120000</v>
      </c>
    </row>
    <row r="45" spans="1:10" s="43" customFormat="1" x14ac:dyDescent="0.25">
      <c r="A45" s="7" t="s">
        <v>12</v>
      </c>
      <c r="C45" s="43">
        <f t="shared" si="6"/>
        <v>0</v>
      </c>
      <c r="D45" s="43">
        <f t="shared" si="6"/>
        <v>0</v>
      </c>
      <c r="E45" s="43">
        <f t="shared" si="6"/>
        <v>0</v>
      </c>
      <c r="F45" s="43">
        <f t="shared" si="6"/>
        <v>35000</v>
      </c>
      <c r="G45" s="43">
        <f t="shared" si="6"/>
        <v>70000</v>
      </c>
      <c r="H45" s="43">
        <f t="shared" si="6"/>
        <v>105000</v>
      </c>
      <c r="I45" s="43">
        <f t="shared" si="6"/>
        <v>210000</v>
      </c>
      <c r="J45" s="43">
        <f t="shared" si="6"/>
        <v>385000</v>
      </c>
    </row>
    <row r="46" spans="1:10" s="43" customFormat="1" x14ac:dyDescent="0.25">
      <c r="A46" s="7" t="s">
        <v>142</v>
      </c>
      <c r="C46" s="43">
        <f>$B$11*C34</f>
        <v>0</v>
      </c>
      <c r="D46" s="43">
        <f t="shared" ref="D46:H46" si="7">$B$11*D34</f>
        <v>0</v>
      </c>
      <c r="E46" s="43">
        <f t="shared" si="7"/>
        <v>0</v>
      </c>
      <c r="F46" s="43">
        <f t="shared" si="7"/>
        <v>100000</v>
      </c>
      <c r="G46" s="43">
        <f t="shared" si="7"/>
        <v>100000</v>
      </c>
      <c r="H46" s="43">
        <f t="shared" si="7"/>
        <v>300000</v>
      </c>
      <c r="I46" s="43">
        <f>$B$11*I34</f>
        <v>600000</v>
      </c>
      <c r="J46" s="43">
        <f>$B$11*J34</f>
        <v>1100000</v>
      </c>
    </row>
    <row r="47" spans="1:10" x14ac:dyDescent="0.25">
      <c r="A47" s="6"/>
    </row>
    <row r="48" spans="1:10" x14ac:dyDescent="0.25">
      <c r="A48" s="52" t="s">
        <v>144</v>
      </c>
      <c r="C48">
        <f>SUM(C25:C33)</f>
        <v>2.6</v>
      </c>
      <c r="D48">
        <f t="shared" ref="D48:H48" si="8">SUM(D25:D33)</f>
        <v>3.65</v>
      </c>
      <c r="E48">
        <f t="shared" si="8"/>
        <v>4.5</v>
      </c>
      <c r="F48">
        <f t="shared" si="8"/>
        <v>10</v>
      </c>
      <c r="G48">
        <f t="shared" si="8"/>
        <v>15</v>
      </c>
      <c r="H48">
        <f t="shared" si="8"/>
        <v>27</v>
      </c>
      <c r="I48">
        <f t="shared" ref="I48:J48" si="9">SUM(I25:I33)</f>
        <v>48</v>
      </c>
      <c r="J48">
        <f t="shared" si="9"/>
        <v>90</v>
      </c>
    </row>
    <row r="49" spans="1:10" x14ac:dyDescent="0.25">
      <c r="A49" s="40" t="s">
        <v>143</v>
      </c>
      <c r="C49">
        <f>C48+C24+C34</f>
        <v>3.6</v>
      </c>
      <c r="D49">
        <f t="shared" ref="D49:J49" si="10">D48+D24+D34</f>
        <v>4.6500000000000004</v>
      </c>
      <c r="E49">
        <f t="shared" si="10"/>
        <v>5.5</v>
      </c>
      <c r="F49">
        <f t="shared" si="10"/>
        <v>12</v>
      </c>
      <c r="G49">
        <f t="shared" si="10"/>
        <v>17</v>
      </c>
      <c r="H49">
        <f t="shared" si="10"/>
        <v>32</v>
      </c>
      <c r="I49">
        <f t="shared" si="10"/>
        <v>56</v>
      </c>
      <c r="J49">
        <f t="shared" si="10"/>
        <v>103</v>
      </c>
    </row>
    <row r="50" spans="1:10" x14ac:dyDescent="0.25">
      <c r="A50" s="52" t="s">
        <v>133</v>
      </c>
      <c r="C50" s="43">
        <f>SUM(C37:C46)</f>
        <v>119000</v>
      </c>
      <c r="D50" s="43">
        <f t="shared" ref="D50:J50" si="11">SUM(D37:D46)</f>
        <v>176500</v>
      </c>
      <c r="E50" s="43">
        <f t="shared" si="11"/>
        <v>227500</v>
      </c>
      <c r="F50" s="43">
        <f t="shared" si="11"/>
        <v>675000</v>
      </c>
      <c r="G50" s="43">
        <f t="shared" si="11"/>
        <v>965000</v>
      </c>
      <c r="H50" s="43">
        <f t="shared" si="11"/>
        <v>1900000</v>
      </c>
      <c r="I50" s="43">
        <f t="shared" si="11"/>
        <v>3505001</v>
      </c>
      <c r="J50" s="43">
        <f t="shared" si="11"/>
        <v>6610002</v>
      </c>
    </row>
    <row r="51" spans="1:10" x14ac:dyDescent="0.25">
      <c r="A51" s="52" t="s">
        <v>85</v>
      </c>
      <c r="C51" s="43">
        <f t="shared" ref="C51:J51" si="12">((C50*PAYROLL_TAX)+BENEFITS) +(C48*B15) +C50</f>
        <v>141120</v>
      </c>
      <c r="D51" s="43">
        <f t="shared" si="12"/>
        <v>200620</v>
      </c>
      <c r="E51" s="43">
        <f t="shared" si="12"/>
        <v>255700</v>
      </c>
      <c r="F51" s="43">
        <f t="shared" si="12"/>
        <v>739000</v>
      </c>
      <c r="G51" s="43">
        <f t="shared" si="12"/>
        <v>1052200</v>
      </c>
      <c r="H51" s="43">
        <f t="shared" si="12"/>
        <v>2062000</v>
      </c>
      <c r="I51" s="43">
        <f t="shared" si="12"/>
        <v>3795401.08</v>
      </c>
      <c r="J51" s="43">
        <f t="shared" si="12"/>
        <v>7148802.1600000001</v>
      </c>
    </row>
    <row r="52" spans="1:10" x14ac:dyDescent="0.25">
      <c r="A52" s="52"/>
    </row>
    <row r="54" spans="1:10" x14ac:dyDescent="0.25">
      <c r="A54" s="49" t="s">
        <v>83</v>
      </c>
    </row>
    <row r="55" spans="1:10" x14ac:dyDescent="0.25">
      <c r="A55" t="s">
        <v>5</v>
      </c>
      <c r="B55" s="11">
        <v>0.12</v>
      </c>
      <c r="C55">
        <f t="shared" ref="C55:J57" si="13">C$20*$B55</f>
        <v>4.8</v>
      </c>
      <c r="D55">
        <f t="shared" si="13"/>
        <v>7.1999999999999993</v>
      </c>
      <c r="E55">
        <f t="shared" si="13"/>
        <v>9.6</v>
      </c>
      <c r="F55">
        <f t="shared" si="13"/>
        <v>19.2</v>
      </c>
      <c r="G55">
        <f t="shared" si="13"/>
        <v>38.4</v>
      </c>
      <c r="H55">
        <f t="shared" si="13"/>
        <v>76.8</v>
      </c>
      <c r="I55">
        <f t="shared" si="13"/>
        <v>153.6</v>
      </c>
      <c r="J55">
        <f t="shared" si="13"/>
        <v>307.2</v>
      </c>
    </row>
    <row r="56" spans="1:10" x14ac:dyDescent="0.25">
      <c r="A56" t="s">
        <v>6</v>
      </c>
      <c r="B56" s="11">
        <v>0.73</v>
      </c>
      <c r="C56">
        <f t="shared" si="13"/>
        <v>29.2</v>
      </c>
      <c r="D56">
        <f t="shared" si="13"/>
        <v>43.8</v>
      </c>
      <c r="E56">
        <f t="shared" si="13"/>
        <v>58.4</v>
      </c>
      <c r="F56">
        <f>F$20*$B56</f>
        <v>116.8</v>
      </c>
      <c r="G56">
        <f t="shared" si="13"/>
        <v>233.6</v>
      </c>
      <c r="H56">
        <f t="shared" si="13"/>
        <v>467.2</v>
      </c>
      <c r="I56">
        <f t="shared" si="13"/>
        <v>934.4</v>
      </c>
      <c r="J56">
        <f t="shared" si="13"/>
        <v>1868.8</v>
      </c>
    </row>
    <row r="57" spans="1:10" x14ac:dyDescent="0.25">
      <c r="A57" t="s">
        <v>7</v>
      </c>
      <c r="B57" s="11">
        <v>0.15</v>
      </c>
      <c r="C57">
        <f>C$20*$B57</f>
        <v>6</v>
      </c>
      <c r="D57">
        <f t="shared" si="13"/>
        <v>9</v>
      </c>
      <c r="E57">
        <f t="shared" si="13"/>
        <v>12</v>
      </c>
      <c r="F57">
        <f t="shared" si="13"/>
        <v>24</v>
      </c>
      <c r="G57">
        <f t="shared" si="13"/>
        <v>48</v>
      </c>
      <c r="H57">
        <f t="shared" si="13"/>
        <v>96</v>
      </c>
      <c r="I57">
        <f t="shared" si="13"/>
        <v>192</v>
      </c>
      <c r="J57">
        <f t="shared" si="13"/>
        <v>384</v>
      </c>
    </row>
    <row r="58" spans="1:10" x14ac:dyDescent="0.25">
      <c r="A58" t="s">
        <v>84</v>
      </c>
      <c r="B58" s="11">
        <v>0.15</v>
      </c>
    </row>
    <row r="59" spans="1:10" x14ac:dyDescent="0.25">
      <c r="B59" s="11">
        <f>SUM(B55:B57)</f>
        <v>1</v>
      </c>
    </row>
    <row r="61" spans="1:10" s="5" customFormat="1" x14ac:dyDescent="0.25">
      <c r="A61" s="5" t="s">
        <v>87</v>
      </c>
      <c r="C61" s="5">
        <f t="shared" ref="C61:H61" si="14">C21*SALES_HOURS_PER_ENGAGEMENT</f>
        <v>22.222222222222221</v>
      </c>
      <c r="D61" s="5">
        <f t="shared" si="14"/>
        <v>22.222222222222221</v>
      </c>
      <c r="E61" s="5">
        <f t="shared" si="14"/>
        <v>22.222222222222221</v>
      </c>
      <c r="F61" s="5">
        <f t="shared" si="14"/>
        <v>22.222222222222221</v>
      </c>
      <c r="G61" s="5">
        <f t="shared" si="14"/>
        <v>44.444444444444443</v>
      </c>
      <c r="H61" s="5">
        <f t="shared" si="14"/>
        <v>88.888888888888886</v>
      </c>
      <c r="I61" s="5">
        <f t="shared" ref="I61:J61" si="15">I21*SALES_HOURS_PER_ENGAGEMENT</f>
        <v>155.55555555555554</v>
      </c>
      <c r="J61" s="5">
        <f t="shared" si="15"/>
        <v>288.88888888888886</v>
      </c>
    </row>
  </sheetData>
  <conditionalFormatting sqref="K61:P61">
    <cfRule type="expression" dxfId="2" priority="5">
      <formula>(K61/K36) &gt; 40</formula>
    </cfRule>
  </conditionalFormatting>
  <conditionalFormatting sqref="C58:J58">
    <cfRule type="cellIs" dxfId="1" priority="1" operator="greaterThan">
      <formula>C32*40</formula>
    </cfRule>
  </conditionalFormatting>
  <conditionalFormatting sqref="C55:J57">
    <cfRule type="cellIs" dxfId="0" priority="6" operator="greaterThan">
      <formula>C28*40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39"/>
  <sheetViews>
    <sheetView workbookViewId="0">
      <selection activeCell="G23" sqref="G23"/>
    </sheetView>
  </sheetViews>
  <sheetFormatPr defaultRowHeight="15" x14ac:dyDescent="0.25"/>
  <cols>
    <col min="1" max="1" width="15.140625" customWidth="1"/>
    <col min="2" max="2" width="16.7109375" customWidth="1"/>
    <col min="3" max="3" width="14.85546875" style="5" customWidth="1"/>
    <col min="4" max="4" width="17.85546875" style="3" customWidth="1"/>
    <col min="5" max="5" width="11" style="59" customWidth="1"/>
    <col min="6" max="6" width="18.85546875" style="63" customWidth="1"/>
    <col min="7" max="7" width="16" style="62" customWidth="1"/>
    <col min="8" max="8" width="17.5703125" style="2" customWidth="1"/>
    <col min="9" max="9" width="12.85546875" customWidth="1"/>
    <col min="10" max="11" width="15.42578125" customWidth="1"/>
    <col min="12" max="13" width="18.5703125" customWidth="1"/>
    <col min="14" max="14" width="16" style="43" customWidth="1"/>
    <col min="15" max="15" width="11.42578125" customWidth="1"/>
    <col min="16" max="16" width="12.85546875" customWidth="1"/>
    <col min="17" max="17" width="13.42578125" customWidth="1"/>
    <col min="18" max="18" width="12" customWidth="1"/>
    <col min="19" max="19" width="12.7109375" customWidth="1"/>
    <col min="20" max="20" width="17.28515625" customWidth="1"/>
    <col min="21" max="21" width="13.42578125" customWidth="1"/>
    <col min="22" max="22" width="18.85546875" customWidth="1"/>
    <col min="23" max="23" width="9.42578125" customWidth="1"/>
    <col min="24" max="24" width="13.28515625" customWidth="1"/>
    <col min="25" max="25" width="10.7109375" customWidth="1"/>
    <col min="26" max="26" width="15" customWidth="1"/>
    <col min="27" max="27" width="7.7109375" customWidth="1"/>
    <col min="28" max="28" width="13.7109375" customWidth="1"/>
  </cols>
  <sheetData>
    <row r="1" spans="1:28" s="68" customFormat="1" ht="45" x14ac:dyDescent="0.25">
      <c r="A1" s="68" t="s">
        <v>108</v>
      </c>
      <c r="B1" s="68" t="s">
        <v>107</v>
      </c>
      <c r="C1" s="50" t="s">
        <v>119</v>
      </c>
      <c r="D1" s="60" t="s">
        <v>118</v>
      </c>
      <c r="E1" s="50" t="s">
        <v>105</v>
      </c>
      <c r="F1" s="67" t="s">
        <v>55</v>
      </c>
      <c r="G1" s="50" t="s">
        <v>99</v>
      </c>
      <c r="H1" s="67" t="s">
        <v>125</v>
      </c>
      <c r="I1" s="68" t="s">
        <v>127</v>
      </c>
      <c r="J1" s="68" t="s">
        <v>126</v>
      </c>
      <c r="K1" s="68" t="s">
        <v>134</v>
      </c>
      <c r="L1" s="68" t="s">
        <v>69</v>
      </c>
      <c r="M1" s="68" t="s">
        <v>137</v>
      </c>
      <c r="N1" s="67" t="s">
        <v>63</v>
      </c>
      <c r="O1" s="69" t="s">
        <v>128</v>
      </c>
      <c r="P1" s="69" t="s">
        <v>135</v>
      </c>
      <c r="Q1" s="69" t="s">
        <v>136</v>
      </c>
      <c r="R1" s="69" t="s">
        <v>120</v>
      </c>
      <c r="S1" s="68" t="s">
        <v>71</v>
      </c>
      <c r="T1" s="68" t="s">
        <v>72</v>
      </c>
      <c r="U1" s="68" t="s">
        <v>73</v>
      </c>
      <c r="V1" s="68" t="s">
        <v>123</v>
      </c>
      <c r="W1" s="68" t="s">
        <v>74</v>
      </c>
      <c r="X1" s="68" t="s">
        <v>75</v>
      </c>
      <c r="Y1" s="68" t="s">
        <v>76</v>
      </c>
      <c r="Z1" s="68" t="s">
        <v>77</v>
      </c>
      <c r="AA1" s="68" t="s">
        <v>96</v>
      </c>
      <c r="AB1" s="68" t="s">
        <v>78</v>
      </c>
    </row>
    <row r="2" spans="1:28" x14ac:dyDescent="0.25">
      <c r="A2">
        <f>'Yearly Income Statement'!A8</f>
        <v>1</v>
      </c>
      <c r="B2">
        <f>'Yearly Income Statement'!B8</f>
        <v>2020</v>
      </c>
      <c r="C2" s="5">
        <f>'Yearly Income Statement'!C8</f>
        <v>1</v>
      </c>
      <c r="D2" s="3">
        <f ca="1">'Yearly Income Statement'!E8</f>
        <v>2</v>
      </c>
      <c r="E2" s="32">
        <f ca="1">'Yearly Income Statement'!F8</f>
        <v>19.2</v>
      </c>
      <c r="F2" s="26">
        <f ca="1">'Yearly Income Statement'!K8</f>
        <v>261120</v>
      </c>
      <c r="G2" s="32">
        <f ca="1">'Yearly Income Statement'!I8</f>
        <v>80</v>
      </c>
      <c r="H2" s="43">
        <f>'Monthly Expenses'!B19 * 12</f>
        <v>59940</v>
      </c>
      <c r="J2">
        <v>0</v>
      </c>
    </row>
    <row r="3" spans="1:28" x14ac:dyDescent="0.25">
      <c r="A3">
        <f>'Yearly Income Statement'!A9</f>
        <v>2</v>
      </c>
      <c r="B3">
        <f>'Yearly Income Statement'!B9</f>
        <v>2021</v>
      </c>
      <c r="C3" s="5">
        <f>'Yearly Income Statement'!C9</f>
        <v>1</v>
      </c>
      <c r="D3" s="3">
        <f ca="1">'Yearly Income Statement'!E9</f>
        <v>2.1298424851939699</v>
      </c>
      <c r="E3" s="32">
        <f ca="1">'Yearly Income Statement'!F9</f>
        <v>29.167662830707776</v>
      </c>
      <c r="F3" s="26">
        <f ca="1">'Yearly Income Statement'!K9</f>
        <v>560659.85162965604</v>
      </c>
      <c r="G3" s="32">
        <f ca="1">'Yearly Income Statement'!I9</f>
        <v>85.1936994077588</v>
      </c>
      <c r="H3" s="43">
        <f ca="1">K3+L3+M3</f>
        <v>421477.41504150466</v>
      </c>
      <c r="I3">
        <f ca="1">IFERROR(MATCH(G3,Salaries!$C$20:$I$20,1), 1)</f>
        <v>3</v>
      </c>
      <c r="J3">
        <f t="shared" ref="J3:J13" ca="1" si="0">OFFSET(EMPLOYEE_COUNT_OFFSET, 0, I3)</f>
        <v>5.5</v>
      </c>
      <c r="K3" s="43">
        <f t="shared" ref="K3:K13" ca="1" si="1">((((G3 * 48) *BILLABLE_RATE) * COMMISSION) + SALES_BASE_SALARY) *C3</f>
        <v>45446.487857862114</v>
      </c>
      <c r="L3" s="43">
        <f t="shared" ref="L3:L13" ca="1" si="2">OFFSET(SALARY_OFFSET_CELL, 0, I3)</f>
        <v>255700</v>
      </c>
      <c r="M3" s="58">
        <f ca="1">SUM(N3:AB3) *12</f>
        <v>120330.9271836425</v>
      </c>
      <c r="N3" s="43">
        <f ca="1">'Monthly Expenses'!$C$2 * MAX(D3, 1)</f>
        <v>2555.8109822327638</v>
      </c>
      <c r="O3" s="43">
        <f ca="1">'Monthly Expenses'!$C$5*E3</f>
        <v>2916.7662830707777</v>
      </c>
      <c r="P3" s="43">
        <f ca="1">'Monthly Expenses'!$C$6 + ('Monthly Expenses'!$E$6*J3)</f>
        <v>230</v>
      </c>
      <c r="Q3" s="43">
        <f ca="1">'Monthly Expenses'!$C$7+('Monthly Expenses'!$E$7 *J3)</f>
        <v>475</v>
      </c>
      <c r="R3" s="43">
        <f ca="1">'Monthly Expenses'!C8 *J3</f>
        <v>2750</v>
      </c>
      <c r="S3" s="43">
        <f ca="1">'Monthly Expenses'!$C$9 *J3</f>
        <v>275</v>
      </c>
      <c r="T3" s="43">
        <f>'Monthly Expenses'!$C$10*C3</f>
        <v>200</v>
      </c>
      <c r="U3" s="43">
        <v>100</v>
      </c>
      <c r="V3" s="43">
        <f>'Monthly Expenses'!$B$12</f>
        <v>100</v>
      </c>
      <c r="W3" s="43"/>
      <c r="X3" s="43"/>
      <c r="Y3" s="43">
        <f ca="1">'Monthly Expenses'!$C$15*J3</f>
        <v>275</v>
      </c>
      <c r="Z3" s="43"/>
      <c r="AA3" s="43">
        <f>'Monthly Expenses'!$C$17 *C3</f>
        <v>150</v>
      </c>
      <c r="AB3" s="43"/>
    </row>
    <row r="4" spans="1:28" x14ac:dyDescent="0.25">
      <c r="A4">
        <f>'Yearly Income Statement'!A10</f>
        <v>3</v>
      </c>
      <c r="B4">
        <f>'Yearly Income Statement'!B10</f>
        <v>2022</v>
      </c>
      <c r="C4" s="5">
        <f>'Yearly Income Statement'!C10</f>
        <v>1</v>
      </c>
      <c r="D4" s="3">
        <f ca="1">'Yearly Income Statement'!E10</f>
        <v>2.2187269293600642</v>
      </c>
      <c r="E4" s="32">
        <f ca="1">'Yearly Income Statement'!F10</f>
        <v>39.551304860112879</v>
      </c>
      <c r="F4" s="26">
        <f ca="1">'Yearly Income Statement'!K10</f>
        <v>655556.94726397085</v>
      </c>
      <c r="G4" s="32">
        <f ca="1">'Yearly Income Statement'!I10</f>
        <v>88.749077174402572</v>
      </c>
      <c r="H4" s="43">
        <f t="shared" ref="H4:H13" ca="1" si="3">SUM(I4:AB4)</f>
        <v>415077.11493802042</v>
      </c>
      <c r="I4">
        <f ca="1">IFERROR(MATCH(G4,Salaries!$C$20:$I$20,1), 1)</f>
        <v>3</v>
      </c>
      <c r="J4">
        <f t="shared" ca="1" si="0"/>
        <v>5.5</v>
      </c>
      <c r="K4" s="43">
        <f t="shared" ca="1" si="1"/>
        <v>46299.778521856613</v>
      </c>
      <c r="L4" s="43">
        <f t="shared" ca="1" si="2"/>
        <v>255700</v>
      </c>
      <c r="M4" s="58">
        <f t="shared" ref="M4:M13" ca="1" si="4">SUM(N4:AB4) *12</f>
        <v>104371.23361492038</v>
      </c>
      <c r="N4" s="43">
        <f ca="1">'Monthly Expenses'!$C$2 * MAX(D4, 1)</f>
        <v>2662.4723152320771</v>
      </c>
      <c r="O4" s="43">
        <f ca="1">'Monthly Expenses'!$C$5*E4</f>
        <v>3955.1304860112878</v>
      </c>
      <c r="P4" s="43">
        <f ca="1">'Monthly Expenses'!$C$6 + ('Monthly Expenses'!$E$6*J4)</f>
        <v>230</v>
      </c>
      <c r="Q4" s="43">
        <f ca="1">'Monthly Expenses'!$C$7+('Monthly Expenses'!$E$7 *J4)</f>
        <v>475</v>
      </c>
      <c r="R4" s="43">
        <f ca="1">'Monthly Expenses'!C9 *J4</f>
        <v>275</v>
      </c>
      <c r="S4" s="43">
        <f ca="1">'Monthly Expenses'!$C$9 *J4</f>
        <v>275</v>
      </c>
      <c r="T4" s="43">
        <f>'Monthly Expenses'!$C$10*C4</f>
        <v>200</v>
      </c>
      <c r="U4" s="43">
        <v>100</v>
      </c>
      <c r="V4" s="43">
        <f>'Monthly Expenses'!$B$12</f>
        <v>100</v>
      </c>
      <c r="W4" s="43"/>
      <c r="X4" s="43"/>
      <c r="Y4" s="43">
        <f ca="1">'Monthly Expenses'!$C$15*J4</f>
        <v>275</v>
      </c>
      <c r="Z4" s="43"/>
      <c r="AA4" s="43">
        <f>'Monthly Expenses'!$C$17 *C4</f>
        <v>150</v>
      </c>
      <c r="AB4" s="43"/>
    </row>
    <row r="5" spans="1:28" x14ac:dyDescent="0.25">
      <c r="A5">
        <f>'Yearly Income Statement'!A11</f>
        <v>4</v>
      </c>
      <c r="B5">
        <f>'Yearly Income Statement'!B11</f>
        <v>2023</v>
      </c>
      <c r="C5" s="5">
        <f>'Yearly Income Statement'!C11</f>
        <v>1</v>
      </c>
      <c r="D5" s="3">
        <f ca="1">'Yearly Income Statement'!E11</f>
        <v>2.2784814343726287</v>
      </c>
      <c r="E5" s="32">
        <f ca="1">'Yearly Income Statement'!F11</f>
        <v>50.214597972976783</v>
      </c>
      <c r="F5" s="26">
        <f ca="1">'Yearly Income Statement'!K11</f>
        <v>806666.01710785343</v>
      </c>
      <c r="G5" s="32">
        <f ca="1">'Yearly Income Statement'!I11</f>
        <v>91.139257374905156</v>
      </c>
      <c r="H5" s="43">
        <f t="shared" ca="1" si="3"/>
        <v>443770.20951106003</v>
      </c>
      <c r="I5">
        <f ca="1">IFERROR(MATCH(G5,Salaries!$C$20:$I$20,1), 1)</f>
        <v>3</v>
      </c>
      <c r="J5">
        <f t="shared" ca="1" si="0"/>
        <v>5.5</v>
      </c>
      <c r="K5" s="43">
        <f t="shared" ca="1" si="1"/>
        <v>46873.421769977242</v>
      </c>
      <c r="L5" s="43">
        <f t="shared" ca="1" si="2"/>
        <v>255700</v>
      </c>
      <c r="M5" s="58">
        <f t="shared" ca="1" si="4"/>
        <v>130327.65022253798</v>
      </c>
      <c r="N5" s="43">
        <f ca="1">'Monthly Expenses'!$C$2 * MAX(D5, 1)</f>
        <v>2734.1777212471543</v>
      </c>
      <c r="O5" s="43">
        <f ca="1">'Monthly Expenses'!$C$5*E5</f>
        <v>5021.4597972976781</v>
      </c>
      <c r="P5" s="43">
        <f ca="1">'Monthly Expenses'!$C$6 + ('Monthly Expenses'!$E$6*J5)</f>
        <v>230</v>
      </c>
      <c r="Q5" s="43">
        <f ca="1">'Monthly Expenses'!$C$7+('Monthly Expenses'!$E$7 *J5)</f>
        <v>475</v>
      </c>
      <c r="R5" s="43">
        <f ca="1">'Monthly Expenses'!C10 *J5</f>
        <v>1100</v>
      </c>
      <c r="S5" s="43">
        <f ca="1">'Monthly Expenses'!$C$9 *J5</f>
        <v>275</v>
      </c>
      <c r="T5" s="43">
        <f>'Monthly Expenses'!$C$10*C5</f>
        <v>200</v>
      </c>
      <c r="U5" s="43">
        <v>200</v>
      </c>
      <c r="V5" s="43">
        <f>V4*2</f>
        <v>200</v>
      </c>
      <c r="W5" s="43"/>
      <c r="X5" s="43"/>
      <c r="Y5" s="43">
        <f ca="1">'Monthly Expenses'!$C$15*J5</f>
        <v>275</v>
      </c>
      <c r="Z5" s="43"/>
      <c r="AA5" s="43">
        <f>'Monthly Expenses'!$C$17 *C5</f>
        <v>150</v>
      </c>
      <c r="AB5" s="43"/>
    </row>
    <row r="6" spans="1:28" x14ac:dyDescent="0.25">
      <c r="A6">
        <f>'Yearly Income Statement'!A12</f>
        <v>5</v>
      </c>
      <c r="B6">
        <f>'Yearly Income Statement'!B12</f>
        <v>2024</v>
      </c>
      <c r="C6" s="5">
        <f>'Yearly Income Statement'!C12</f>
        <v>2</v>
      </c>
      <c r="D6" s="3">
        <f ca="1">'Yearly Income Statement'!E12</f>
        <v>3.4772732451239623</v>
      </c>
      <c r="E6" s="32">
        <f ca="1">'Yearly Income Statement'!F12</f>
        <v>66.488236760156923</v>
      </c>
      <c r="F6" s="26">
        <f ca="1">'Yearly Income Statement'!K12</f>
        <v>1067236.3815433569</v>
      </c>
      <c r="G6" s="32">
        <f ca="1">'Yearly Income Statement'!I12</f>
        <v>139.09092980495848</v>
      </c>
      <c r="H6" s="43">
        <f t="shared" ca="1" si="3"/>
        <v>725117.31671851792</v>
      </c>
      <c r="I6">
        <f ca="1">IFERROR(MATCH(G6,Salaries!$C$20:$I$20,1), 1)</f>
        <v>3</v>
      </c>
      <c r="J6">
        <f t="shared" ca="1" si="0"/>
        <v>5.5</v>
      </c>
      <c r="K6" s="43">
        <f t="shared" ca="1" si="1"/>
        <v>116763.64630638008</v>
      </c>
      <c r="L6" s="43">
        <f t="shared" ca="1" si="2"/>
        <v>255700</v>
      </c>
      <c r="M6" s="58">
        <f t="shared" ca="1" si="4"/>
        <v>325518.61884197337</v>
      </c>
      <c r="N6" s="43">
        <f ca="1">'Monthly Expenses'!$C$2 * MAX(D6, 1)</f>
        <v>4172.7278941487548</v>
      </c>
      <c r="O6" s="43">
        <f ca="1">'Monthly Expenses'!$C$5*E6</f>
        <v>6648.8236760156924</v>
      </c>
      <c r="P6" s="43">
        <f ca="1">'Monthly Expenses'!$C$6 + ('Monthly Expenses'!$E$6*J6)</f>
        <v>230</v>
      </c>
      <c r="Q6" s="43">
        <f ca="1">'Monthly Expenses'!$C$7+('Monthly Expenses'!$E$7 *J6)</f>
        <v>475</v>
      </c>
      <c r="R6" s="43">
        <f ca="1">'Monthly Expenses'!C11 *J6</f>
        <v>13750</v>
      </c>
      <c r="S6" s="43">
        <f ca="1">'Monthly Expenses'!$C$9 *J6</f>
        <v>275</v>
      </c>
      <c r="T6" s="43">
        <f>'Monthly Expenses'!$C$10*C6</f>
        <v>400</v>
      </c>
      <c r="U6" s="43">
        <v>200</v>
      </c>
      <c r="V6" s="43">
        <f>V5*2</f>
        <v>400</v>
      </c>
      <c r="W6" s="43"/>
      <c r="X6" s="43"/>
      <c r="Y6" s="43">
        <f ca="1">'Monthly Expenses'!$C$15*J6</f>
        <v>275</v>
      </c>
      <c r="Z6" s="43"/>
      <c r="AA6" s="43">
        <f>'Monthly Expenses'!$C$17 *C6</f>
        <v>300</v>
      </c>
      <c r="AB6" s="43"/>
    </row>
    <row r="7" spans="1:28" x14ac:dyDescent="0.25">
      <c r="A7">
        <f>'Yearly Income Statement'!A13</f>
        <v>6</v>
      </c>
      <c r="B7">
        <f>'Yearly Income Statement'!B13</f>
        <v>2025</v>
      </c>
      <c r="C7" s="5">
        <f>'Yearly Income Statement'!C13</f>
        <v>2</v>
      </c>
      <c r="D7" s="3">
        <f ca="1">'Yearly Income Statement'!E13</f>
        <v>4.5769322110380806</v>
      </c>
      <c r="E7" s="32">
        <f ca="1">'Yearly Income Statement'!F13</f>
        <v>87.908279507815138</v>
      </c>
      <c r="F7" s="26">
        <f ca="1">'Yearly Income Statement'!K13</f>
        <v>1374542.9658122438</v>
      </c>
      <c r="G7" s="32">
        <f ca="1">'Yearly Income Statement'!I13</f>
        <v>183.07728844152322</v>
      </c>
      <c r="H7" s="43">
        <f t="shared" ca="1" si="3"/>
        <v>1357154.0043042847</v>
      </c>
      <c r="I7">
        <f ca="1">IFERROR(MATCH(G7,Salaries!$C$20:$I$20,1), 1)</f>
        <v>4</v>
      </c>
      <c r="J7">
        <f t="shared" ca="1" si="0"/>
        <v>12</v>
      </c>
      <c r="K7" s="43">
        <f t="shared" ca="1" si="1"/>
        <v>137877.09845193115</v>
      </c>
      <c r="L7" s="43">
        <f t="shared" ca="1" si="2"/>
        <v>739000</v>
      </c>
      <c r="M7" s="58">
        <f t="shared" ca="1" si="4"/>
        <v>443317.75924832647</v>
      </c>
      <c r="N7" s="43">
        <f ca="1">'Monthly Expenses'!$C$2 * MAX(D7, 1)</f>
        <v>5492.3186532456966</v>
      </c>
      <c r="O7" s="43">
        <f ca="1">'Monthly Expenses'!$C$5*E7</f>
        <v>8790.8279507815132</v>
      </c>
      <c r="P7" s="43">
        <f ca="1">'Monthly Expenses'!$C$6 + ('Monthly Expenses'!$E$6*J7)</f>
        <v>360</v>
      </c>
      <c r="Q7" s="43">
        <f ca="1">'Monthly Expenses'!$C$7+('Monthly Expenses'!$E$7 *J7)</f>
        <v>800</v>
      </c>
      <c r="R7" s="43">
        <f ca="1">'Monthly Expenses'!C12 *J7</f>
        <v>14400</v>
      </c>
      <c r="S7" s="43">
        <f ca="1">'Monthly Expenses'!$C$9 *J7</f>
        <v>600</v>
      </c>
      <c r="T7" s="43">
        <f>'Monthly Expenses'!$C$10*C7</f>
        <v>400</v>
      </c>
      <c r="U7" s="66">
        <f>'Monthly Expenses'!$C$11</f>
        <v>2500</v>
      </c>
      <c r="V7" s="43">
        <f>'Monthly Expenses'!$C$12</f>
        <v>1200</v>
      </c>
      <c r="W7" s="43">
        <f>'Monthly Expenses'!$C$13</f>
        <v>400</v>
      </c>
      <c r="X7" s="43">
        <f>'Monthly Expenses'!$C$14</f>
        <v>100</v>
      </c>
      <c r="Y7" s="43">
        <f ca="1">'Monthly Expenses'!$C$15*J7</f>
        <v>600</v>
      </c>
      <c r="Z7" s="43">
        <f>'Monthly Expenses'!$C$16</f>
        <v>500</v>
      </c>
      <c r="AA7" s="43">
        <f>'Monthly Expenses'!$C$17 *C7</f>
        <v>300</v>
      </c>
      <c r="AB7" s="43">
        <f>'Monthly Expenses'!$C$18</f>
        <v>500</v>
      </c>
    </row>
    <row r="8" spans="1:28" x14ac:dyDescent="0.25">
      <c r="A8">
        <f>'Yearly Income Statement'!A14</f>
        <v>7</v>
      </c>
      <c r="B8">
        <f>'Yearly Income Statement'!B14</f>
        <v>2026</v>
      </c>
      <c r="C8" s="5">
        <f>'Yearly Income Statement'!C14</f>
        <v>3</v>
      </c>
      <c r="D8" s="3">
        <f ca="1">'Yearly Income Statement'!E14</f>
        <v>8.2079351964765834</v>
      </c>
      <c r="E8" s="32">
        <f ca="1">'Yearly Income Statement'!F14</f>
        <v>126.32141622732556</v>
      </c>
      <c r="F8" s="26">
        <f ca="1">'Yearly Income Statement'!K14</f>
        <v>2351928.7956654881</v>
      </c>
      <c r="G8" s="32">
        <f ca="1">'Yearly Income Statement'!I14</f>
        <v>328.31740785906334</v>
      </c>
      <c r="H8" s="43">
        <f t="shared" ca="1" si="3"/>
        <v>1867252.1638190837</v>
      </c>
      <c r="I8">
        <f ca="1">IFERROR(MATCH(G8,Salaries!$C$20:$I$20,1), 1)</f>
        <v>5</v>
      </c>
      <c r="J8">
        <f t="shared" ca="1" si="0"/>
        <v>17</v>
      </c>
      <c r="K8" s="43">
        <f t="shared" ca="1" si="1"/>
        <v>311388.53365852562</v>
      </c>
      <c r="L8" s="43">
        <f t="shared" ca="1" si="2"/>
        <v>1052200</v>
      </c>
      <c r="M8" s="58">
        <f t="shared" ca="1" si="4"/>
        <v>464899.96630205348</v>
      </c>
      <c r="N8" s="43">
        <f ca="1">'Monthly Expenses'!$C$2 * MAX(D8, 1)</f>
        <v>9849.5222357718994</v>
      </c>
      <c r="O8" s="43">
        <f ca="1">'Monthly Expenses'!$C$5*E8</f>
        <v>12632.141622732555</v>
      </c>
      <c r="P8" s="43">
        <f ca="1">'Monthly Expenses'!$C$6 + ('Monthly Expenses'!$E$6*J8)</f>
        <v>460</v>
      </c>
      <c r="Q8" s="43">
        <f ca="1">'Monthly Expenses'!$C$7+('Monthly Expenses'!$E$7 *J8)</f>
        <v>1050</v>
      </c>
      <c r="R8" s="43">
        <f ca="1">'Monthly Expenses'!C13 *J8</f>
        <v>6800</v>
      </c>
      <c r="S8" s="43">
        <f ca="1">'Monthly Expenses'!$C$9 *J8</f>
        <v>850</v>
      </c>
      <c r="T8" s="43">
        <f>'Monthly Expenses'!$C$10*C8</f>
        <v>600</v>
      </c>
      <c r="U8" s="43">
        <f>'Monthly Expenses'!$C$11</f>
        <v>2500</v>
      </c>
      <c r="V8" s="43">
        <f>'Monthly Expenses'!$C$12</f>
        <v>1200</v>
      </c>
      <c r="W8" s="43">
        <f>'Monthly Expenses'!$C$13</f>
        <v>400</v>
      </c>
      <c r="X8" s="43">
        <f>'Monthly Expenses'!$C$14</f>
        <v>100</v>
      </c>
      <c r="Y8" s="43">
        <f ca="1">'Monthly Expenses'!$C$15*J8</f>
        <v>850</v>
      </c>
      <c r="Z8" s="43">
        <f>'Monthly Expenses'!$C$16</f>
        <v>500</v>
      </c>
      <c r="AA8" s="43">
        <f>'Monthly Expenses'!$C$17 *C8</f>
        <v>450</v>
      </c>
      <c r="AB8" s="43">
        <f>'Monthly Expenses'!$C$18</f>
        <v>500</v>
      </c>
    </row>
    <row r="9" spans="1:28" x14ac:dyDescent="0.25">
      <c r="A9">
        <f>'Yearly Income Statement'!A15</f>
        <v>8</v>
      </c>
      <c r="B9">
        <f>'Yearly Income Statement'!B15</f>
        <v>2027</v>
      </c>
      <c r="C9" s="5">
        <f>'Yearly Income Statement'!C15</f>
        <v>3</v>
      </c>
      <c r="D9" s="3">
        <f ca="1">'Yearly Income Statement'!E15</f>
        <v>11.998102122556169</v>
      </c>
      <c r="E9" s="32">
        <f ca="1">'Yearly Income Statement'!F15</f>
        <v>182.47253416088842</v>
      </c>
      <c r="F9" s="26">
        <f ca="1">'Yearly Income Statement'!K15</f>
        <v>3426373.0829726448</v>
      </c>
      <c r="G9" s="32">
        <f ca="1">'Yearly Income Statement'!I15</f>
        <v>479.92408490224676</v>
      </c>
      <c r="H9" s="43">
        <f t="shared" ca="1" si="3"/>
        <v>2042232.0286506489</v>
      </c>
      <c r="I9">
        <f ca="1">IFERROR(MATCH(G9,Salaries!$C$20:$I$20,1), 1)</f>
        <v>5</v>
      </c>
      <c r="J9">
        <f t="shared" ca="1" si="0"/>
        <v>17</v>
      </c>
      <c r="K9" s="43">
        <f t="shared" ca="1" si="1"/>
        <v>420545.34112961765</v>
      </c>
      <c r="L9" s="43">
        <f t="shared" ca="1" si="2"/>
        <v>1052200</v>
      </c>
      <c r="M9" s="58">
        <f t="shared" ca="1" si="4"/>
        <v>525659.71155787492</v>
      </c>
      <c r="N9" s="43">
        <f ca="1">'Monthly Expenses'!$C$2 * MAX(D9, 1)</f>
        <v>14397.722547067402</v>
      </c>
      <c r="O9" s="43">
        <f ca="1">'Monthly Expenses'!$C$5*E9</f>
        <v>18247.253416088843</v>
      </c>
      <c r="P9" s="43">
        <f ca="1">'Monthly Expenses'!$C$6 + ('Monthly Expenses'!$E$6*J9)</f>
        <v>460</v>
      </c>
      <c r="Q9" s="43">
        <f ca="1">'Monthly Expenses'!$C$7+('Monthly Expenses'!$E$7 *J9)</f>
        <v>1050</v>
      </c>
      <c r="R9" s="43">
        <f ca="1">'Monthly Expenses'!C14 *J9</f>
        <v>1700</v>
      </c>
      <c r="S9" s="43">
        <f ca="1">'Monthly Expenses'!$C$9 *J9</f>
        <v>850</v>
      </c>
      <c r="T9" s="43">
        <f>'Monthly Expenses'!$C$10*C9</f>
        <v>600</v>
      </c>
      <c r="U9" s="43">
        <f>'Monthly Expenses'!$C$11</f>
        <v>2500</v>
      </c>
      <c r="V9" s="43">
        <f>'Monthly Expenses'!$C$12</f>
        <v>1200</v>
      </c>
      <c r="W9" s="43">
        <f>'Monthly Expenses'!$C$13</f>
        <v>400</v>
      </c>
      <c r="X9" s="43">
        <f>'Monthly Expenses'!$C$14</f>
        <v>100</v>
      </c>
      <c r="Y9" s="43">
        <f ca="1">'Monthly Expenses'!$C$15*J9</f>
        <v>850</v>
      </c>
      <c r="Z9" s="43">
        <f>'Monthly Expenses'!$C$16</f>
        <v>500</v>
      </c>
      <c r="AA9" s="43">
        <f>'Monthly Expenses'!$C$17 *C9</f>
        <v>450</v>
      </c>
      <c r="AB9" s="43">
        <f>'Monthly Expenses'!$C$18</f>
        <v>500</v>
      </c>
    </row>
    <row r="10" spans="1:28" x14ac:dyDescent="0.25">
      <c r="A10">
        <f>'Yearly Income Statement'!A16</f>
        <v>9</v>
      </c>
      <c r="B10">
        <f>'Yearly Income Statement'!B16</f>
        <v>2028</v>
      </c>
      <c r="C10" s="5">
        <f>'Yearly Income Statement'!C16</f>
        <v>3</v>
      </c>
      <c r="D10" s="3">
        <f ca="1">'Yearly Income Statement'!E16</f>
        <v>15.356196721211393</v>
      </c>
      <c r="E10" s="32">
        <f ca="1">'Yearly Income Statement'!F16</f>
        <v>254.33953481615774</v>
      </c>
      <c r="F10" s="26">
        <f ca="1">'Yearly Income Statement'!K16</f>
        <v>4485277.0636714799</v>
      </c>
      <c r="G10" s="32">
        <f ca="1">'Yearly Income Statement'!I16</f>
        <v>614.24786884845571</v>
      </c>
      <c r="H10" s="43">
        <f t="shared" ca="1" si="3"/>
        <v>2273708.5296827909</v>
      </c>
      <c r="I10">
        <f ca="1">IFERROR(MATCH(G10,Salaries!$C$20:$I$20,1), 1)</f>
        <v>5</v>
      </c>
      <c r="J10">
        <f t="shared" ca="1" si="0"/>
        <v>17</v>
      </c>
      <c r="K10" s="43">
        <f t="shared" ca="1" si="1"/>
        <v>517258.46557088813</v>
      </c>
      <c r="L10" s="43">
        <f t="shared" ca="1" si="2"/>
        <v>1052200</v>
      </c>
      <c r="M10" s="58">
        <f t="shared" ca="1" si="4"/>
        <v>650056.67456483329</v>
      </c>
      <c r="N10" s="43">
        <f ca="1">'Monthly Expenses'!$C$2 * MAX(D10, 1)</f>
        <v>18427.436065453672</v>
      </c>
      <c r="O10" s="43">
        <f ca="1">'Monthly Expenses'!$C$5*E10</f>
        <v>25433.953481615772</v>
      </c>
      <c r="P10" s="43">
        <f ca="1">'Monthly Expenses'!$C$6 + ('Monthly Expenses'!$E$6*J10)</f>
        <v>460</v>
      </c>
      <c r="Q10" s="43">
        <f ca="1">'Monthly Expenses'!$C$7+('Monthly Expenses'!$E$7 *J10)</f>
        <v>1050</v>
      </c>
      <c r="R10" s="43">
        <f ca="1">'Monthly Expenses'!C15 *J10</f>
        <v>850</v>
      </c>
      <c r="S10" s="43">
        <f ca="1">'Monthly Expenses'!$C$9 *J10</f>
        <v>850</v>
      </c>
      <c r="T10" s="43">
        <f>'Monthly Expenses'!$C$10*C10</f>
        <v>600</v>
      </c>
      <c r="U10" s="43">
        <f>'Monthly Expenses'!$C$11</f>
        <v>2500</v>
      </c>
      <c r="V10" s="43">
        <f>'Monthly Expenses'!$C$12</f>
        <v>1200</v>
      </c>
      <c r="W10" s="43">
        <f>'Monthly Expenses'!$C$13</f>
        <v>400</v>
      </c>
      <c r="X10" s="43">
        <f>'Monthly Expenses'!$C$14</f>
        <v>100</v>
      </c>
      <c r="Y10" s="43">
        <f ca="1">'Monthly Expenses'!$C$15*J10</f>
        <v>850</v>
      </c>
      <c r="Z10" s="43">
        <f>'Monthly Expenses'!$C$16</f>
        <v>500</v>
      </c>
      <c r="AA10" s="43">
        <f>'Monthly Expenses'!$C$17 *C10</f>
        <v>450</v>
      </c>
      <c r="AB10" s="43">
        <f>'Monthly Expenses'!$C$18</f>
        <v>500</v>
      </c>
    </row>
    <row r="11" spans="1:28" x14ac:dyDescent="0.25">
      <c r="A11">
        <f>'Yearly Income Statement'!A17</f>
        <v>10</v>
      </c>
      <c r="B11">
        <f>'Yearly Income Statement'!B17</f>
        <v>2029</v>
      </c>
      <c r="C11" s="5">
        <f>'Yearly Income Statement'!C17</f>
        <v>4</v>
      </c>
      <c r="D11" s="3">
        <f ca="1">'Yearly Income Statement'!E17</f>
        <v>24.037186163857282</v>
      </c>
      <c r="E11" s="32">
        <f ca="1">'Yearly Income Statement'!F17</f>
        <v>366.83356606300981</v>
      </c>
      <c r="F11" s="26">
        <f ca="1">'Yearly Income Statement'!K17</f>
        <v>7114493.852475401</v>
      </c>
      <c r="G11" s="32">
        <f ca="1">'Yearly Income Statement'!I17</f>
        <v>961.4874465542913</v>
      </c>
      <c r="H11" s="43">
        <f t="shared" ca="1" si="3"/>
        <v>4305609.6887302054</v>
      </c>
      <c r="I11">
        <f ca="1">IFERROR(MATCH(G11,Salaries!$C$20:$I$20,1), 1)</f>
        <v>6</v>
      </c>
      <c r="J11">
        <f t="shared" ca="1" si="0"/>
        <v>32</v>
      </c>
      <c r="K11" s="43">
        <f t="shared" ca="1" si="1"/>
        <v>1023027.9486921197</v>
      </c>
      <c r="L11" s="43">
        <f t="shared" ca="1" si="2"/>
        <v>2062000</v>
      </c>
      <c r="M11" s="58">
        <f t="shared" ca="1" si="4"/>
        <v>1126655.7600351567</v>
      </c>
      <c r="N11" s="43">
        <f ca="1">'Monthly Expenses'!$C$2 * MAX(D11, 1)</f>
        <v>28844.623396628736</v>
      </c>
      <c r="O11" s="43">
        <f ca="1">'Monthly Expenses'!$C$5*E11</f>
        <v>36683.356606300978</v>
      </c>
      <c r="P11" s="43">
        <f ca="1">'Monthly Expenses'!$C$6 + ('Monthly Expenses'!$E$6*J11)</f>
        <v>760</v>
      </c>
      <c r="Q11" s="43">
        <f ca="1">'Monthly Expenses'!$C$7+('Monthly Expenses'!$E$7 *J11)</f>
        <v>1800</v>
      </c>
      <c r="R11" s="43">
        <f ca="1">'Monthly Expenses'!C16 *J11</f>
        <v>16000</v>
      </c>
      <c r="S11" s="43">
        <f ca="1">'Monthly Expenses'!$C$9 *J11</f>
        <v>1600</v>
      </c>
      <c r="T11" s="43">
        <f>'Monthly Expenses'!$C$10*C11</f>
        <v>800</v>
      </c>
      <c r="U11" s="43">
        <f>'Monthly Expenses'!$C$11</f>
        <v>2500</v>
      </c>
      <c r="V11" s="43">
        <f>'Monthly Expenses'!$C$12</f>
        <v>1200</v>
      </c>
      <c r="W11" s="43">
        <f>'Monthly Expenses'!$C$13</f>
        <v>400</v>
      </c>
      <c r="X11" s="43">
        <f>'Monthly Expenses'!$C$14</f>
        <v>100</v>
      </c>
      <c r="Y11" s="43">
        <f ca="1">'Monthly Expenses'!$C$15*J11</f>
        <v>1600</v>
      </c>
      <c r="Z11" s="43">
        <f>'Monthly Expenses'!$C$16</f>
        <v>500</v>
      </c>
      <c r="AA11" s="43">
        <f>'Monthly Expenses'!$C$17 *C11</f>
        <v>600</v>
      </c>
      <c r="AB11" s="43">
        <f>'Monthly Expenses'!$C$18</f>
        <v>500</v>
      </c>
    </row>
    <row r="12" spans="1:28" x14ac:dyDescent="0.25">
      <c r="A12">
        <f>'Yearly Income Statement'!A18</f>
        <v>11</v>
      </c>
      <c r="B12">
        <f>'Yearly Income Statement'!B18</f>
        <v>2030</v>
      </c>
      <c r="C12" s="5">
        <f>'Yearly Income Statement'!C18</f>
        <v>4</v>
      </c>
      <c r="D12" s="3">
        <f ca="1">'Yearly Income Statement'!E18</f>
        <v>32.164262734716061</v>
      </c>
      <c r="E12" s="32">
        <f ca="1">'Yearly Income Statement'!F18</f>
        <v>517.36231566148103</v>
      </c>
      <c r="F12" s="26">
        <f ca="1">'Yearly Income Statement'!K18</f>
        <v>9628837.0624771807</v>
      </c>
      <c r="G12" s="32">
        <f ca="1">'Yearly Income Statement'!I18</f>
        <v>1286.5705093886424</v>
      </c>
      <c r="H12" s="43">
        <f t="shared" ca="1" si="3"/>
        <v>6672025.278034592</v>
      </c>
      <c r="I12">
        <f ca="1">IFERROR(MATCH(G12,Salaries!$C$20:$I$20,1), 1)</f>
        <v>7</v>
      </c>
      <c r="J12">
        <f t="shared" ca="1" si="0"/>
        <v>56</v>
      </c>
      <c r="K12" s="43">
        <f t="shared" ca="1" si="1"/>
        <v>1335107.6890130967</v>
      </c>
      <c r="L12" s="43">
        <f t="shared" ca="1" si="2"/>
        <v>3795401.08</v>
      </c>
      <c r="M12" s="58">
        <f t="shared" ca="1" si="4"/>
        <v>1422880.1621736884</v>
      </c>
      <c r="N12" s="43">
        <f ca="1">'Monthly Expenses'!$C$2 * MAX(D12, 1)</f>
        <v>38597.115281659273</v>
      </c>
      <c r="O12" s="43">
        <f ca="1">'Monthly Expenses'!$C$5*E12</f>
        <v>51736.231566148104</v>
      </c>
      <c r="P12" s="43">
        <f ca="1">'Monthly Expenses'!$C$6 + ('Monthly Expenses'!$E$6*J12)</f>
        <v>1240</v>
      </c>
      <c r="Q12" s="43">
        <f ca="1">'Monthly Expenses'!$C$7+('Monthly Expenses'!$E$7 *J12)</f>
        <v>3000</v>
      </c>
      <c r="R12" s="43">
        <f ca="1">'Monthly Expenses'!C17 *J12</f>
        <v>8400</v>
      </c>
      <c r="S12" s="43">
        <f ca="1">'Monthly Expenses'!$C$9 *J12</f>
        <v>2800</v>
      </c>
      <c r="T12" s="43">
        <f>'Monthly Expenses'!$C$10*C12</f>
        <v>800</v>
      </c>
      <c r="U12" s="43">
        <f>'Monthly Expenses'!$C$11*2</f>
        <v>5000</v>
      </c>
      <c r="V12" s="43">
        <f>'Monthly Expenses'!$C$12</f>
        <v>1200</v>
      </c>
      <c r="W12" s="43">
        <f>'Monthly Expenses'!$C$13*2</f>
        <v>800</v>
      </c>
      <c r="X12" s="43">
        <f>'Monthly Expenses'!$C$14</f>
        <v>100</v>
      </c>
      <c r="Y12" s="43">
        <f ca="1">'Monthly Expenses'!$C$15*J12</f>
        <v>2800</v>
      </c>
      <c r="Z12" s="43">
        <f>'Monthly Expenses'!$C$16*2</f>
        <v>1000</v>
      </c>
      <c r="AA12" s="43">
        <f>'Monthly Expenses'!$C$17 *C12</f>
        <v>600</v>
      </c>
      <c r="AB12" s="43">
        <f>'Monthly Expenses'!$C$18</f>
        <v>500</v>
      </c>
    </row>
    <row r="13" spans="1:28" x14ac:dyDescent="0.25">
      <c r="A13">
        <f>'Yearly Income Statement'!A19</f>
        <v>12</v>
      </c>
      <c r="B13">
        <f>'Yearly Income Statement'!B19</f>
        <v>2031</v>
      </c>
      <c r="C13" s="5">
        <f>'Yearly Income Statement'!C19</f>
        <v>4</v>
      </c>
      <c r="D13" s="3">
        <f ca="1">'Yearly Income Statement'!E19</f>
        <v>38.867990159093232</v>
      </c>
      <c r="E13" s="32">
        <f ca="1">'Yearly Income Statement'!F19</f>
        <v>699.26450960603734</v>
      </c>
      <c r="F13" s="26">
        <f ca="1">'Yearly Income Statement'!K19</f>
        <v>12323084.864017237</v>
      </c>
      <c r="G13" s="32">
        <f ca="1">'Yearly Income Statement'!I19</f>
        <v>1554.7196063637293</v>
      </c>
      <c r="H13" s="43">
        <f t="shared" ca="1" si="3"/>
        <v>7525299.4110788833</v>
      </c>
      <c r="I13">
        <f ca="1">IFERROR(MATCH(G13,Salaries!$C$20:$I$20,1), 1)</f>
        <v>7</v>
      </c>
      <c r="J13">
        <f t="shared" ca="1" si="0"/>
        <v>56</v>
      </c>
      <c r="K13" s="43">
        <f t="shared" ca="1" si="1"/>
        <v>1592530.8221091803</v>
      </c>
      <c r="L13" s="43">
        <f t="shared" ca="1" si="2"/>
        <v>3795401.08</v>
      </c>
      <c r="M13" s="58">
        <f t="shared" ca="1" si="4"/>
        <v>1972896.4698181874</v>
      </c>
      <c r="N13" s="43">
        <f ca="1">'Monthly Expenses'!$C$2 * MAX(D13, 1)</f>
        <v>46641.588190911876</v>
      </c>
      <c r="O13" s="43">
        <f ca="1">'Monthly Expenses'!$C$5*E13</f>
        <v>69926.450960603732</v>
      </c>
      <c r="P13" s="43">
        <f ca="1">'Monthly Expenses'!$C$6 + ('Monthly Expenses'!$E$6*J13)</f>
        <v>1240</v>
      </c>
      <c r="Q13" s="43">
        <f ca="1">'Monthly Expenses'!$C$7+('Monthly Expenses'!$E$7 *J13)</f>
        <v>3000</v>
      </c>
      <c r="R13" s="43">
        <f ca="1">'Monthly Expenses'!C18 *J13</f>
        <v>28000</v>
      </c>
      <c r="S13" s="43">
        <f ca="1">'Monthly Expenses'!$C$9 *J13</f>
        <v>2800</v>
      </c>
      <c r="T13" s="43">
        <f>'Monthly Expenses'!$C$10*C13</f>
        <v>800</v>
      </c>
      <c r="U13" s="43">
        <f>'Monthly Expenses'!$C$11*2</f>
        <v>5000</v>
      </c>
      <c r="V13" s="43">
        <f>'Monthly Expenses'!$C$12</f>
        <v>1200</v>
      </c>
      <c r="W13" s="43">
        <f>'Monthly Expenses'!$C$13*2</f>
        <v>800</v>
      </c>
      <c r="X13" s="43">
        <f>'Monthly Expenses'!$C$14</f>
        <v>100</v>
      </c>
      <c r="Y13" s="43">
        <f ca="1">'Monthly Expenses'!$C$15*J13</f>
        <v>2800</v>
      </c>
      <c r="Z13" s="43">
        <f>'Monthly Expenses'!$C$16*2</f>
        <v>1000</v>
      </c>
      <c r="AA13" s="43">
        <f>'Monthly Expenses'!$C$17 *C13</f>
        <v>600</v>
      </c>
      <c r="AB13" s="43">
        <f>'Monthly Expenses'!$C$18</f>
        <v>500</v>
      </c>
    </row>
    <row r="14" spans="1:28" x14ac:dyDescent="0.25">
      <c r="L14" s="43"/>
      <c r="M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</row>
    <row r="15" spans="1:28" x14ac:dyDescent="0.25">
      <c r="L15" s="43"/>
      <c r="M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</row>
    <row r="16" spans="1:28" x14ac:dyDescent="0.25">
      <c r="G16" s="61"/>
      <c r="H16" s="41"/>
      <c r="L16" s="43"/>
      <c r="M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</row>
    <row r="17" spans="6:28" x14ac:dyDescent="0.25">
      <c r="L17" s="43"/>
      <c r="M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</row>
    <row r="18" spans="6:28" x14ac:dyDescent="0.25">
      <c r="L18" s="43"/>
      <c r="M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</row>
    <row r="19" spans="6:28" x14ac:dyDescent="0.25">
      <c r="L19" s="43"/>
      <c r="M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</row>
    <row r="20" spans="6:28" x14ac:dyDescent="0.25">
      <c r="L20" s="43"/>
      <c r="M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</row>
    <row r="21" spans="6:28" x14ac:dyDescent="0.25">
      <c r="L21" s="43"/>
      <c r="M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</row>
    <row r="22" spans="6:28" x14ac:dyDescent="0.25">
      <c r="L22" s="43"/>
      <c r="M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</row>
    <row r="23" spans="6:28" x14ac:dyDescent="0.25">
      <c r="F23" s="64"/>
      <c r="G23" s="5"/>
      <c r="H23"/>
      <c r="L23" s="43"/>
      <c r="M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</row>
    <row r="24" spans="6:28" x14ac:dyDescent="0.25">
      <c r="F24" s="64"/>
      <c r="G24" s="5"/>
      <c r="H24"/>
      <c r="L24" s="43"/>
      <c r="M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</row>
    <row r="25" spans="6:28" x14ac:dyDescent="0.25">
      <c r="F25" s="64"/>
      <c r="G25" s="5"/>
      <c r="H25"/>
      <c r="L25" s="43"/>
      <c r="M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</row>
    <row r="26" spans="6:28" x14ac:dyDescent="0.25">
      <c r="F26" s="64"/>
      <c r="G26" s="5"/>
      <c r="H26"/>
      <c r="L26" s="43"/>
      <c r="M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</row>
    <row r="27" spans="6:28" x14ac:dyDescent="0.25">
      <c r="F27" s="64"/>
      <c r="G27" s="5"/>
      <c r="H27"/>
      <c r="L27" s="43"/>
      <c r="M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</row>
    <row r="28" spans="6:28" x14ac:dyDescent="0.25">
      <c r="F28" s="64"/>
      <c r="G28" s="5"/>
      <c r="H28"/>
    </row>
    <row r="29" spans="6:28" x14ac:dyDescent="0.25">
      <c r="F29" s="64"/>
      <c r="G29" s="5"/>
      <c r="H29"/>
    </row>
    <row r="30" spans="6:28" x14ac:dyDescent="0.25">
      <c r="F30" s="64"/>
      <c r="G30" s="5"/>
      <c r="H30"/>
    </row>
    <row r="31" spans="6:28" x14ac:dyDescent="0.25">
      <c r="F31" s="64"/>
      <c r="G31" s="5"/>
      <c r="H31"/>
    </row>
    <row r="32" spans="6:28" x14ac:dyDescent="0.25">
      <c r="F32" s="64"/>
      <c r="G32" s="5"/>
      <c r="H32"/>
    </row>
    <row r="33" spans="7:8" x14ac:dyDescent="0.25">
      <c r="G33" s="61"/>
      <c r="H33" s="41"/>
    </row>
    <row r="34" spans="7:8" x14ac:dyDescent="0.25">
      <c r="G34" s="61"/>
      <c r="H34" s="41"/>
    </row>
    <row r="35" spans="7:8" x14ac:dyDescent="0.25">
      <c r="G35" s="61"/>
      <c r="H35" s="41"/>
    </row>
    <row r="36" spans="7:8" x14ac:dyDescent="0.25">
      <c r="G36" s="61"/>
      <c r="H36" s="41"/>
    </row>
    <row r="37" spans="7:8" x14ac:dyDescent="0.25">
      <c r="G37" s="61"/>
      <c r="H37" s="41"/>
    </row>
    <row r="38" spans="7:8" x14ac:dyDescent="0.25">
      <c r="G38" s="61"/>
      <c r="H38" s="41"/>
    </row>
    <row r="39" spans="7:8" x14ac:dyDescent="0.25">
      <c r="G39" s="61"/>
      <c r="H39" s="4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19"/>
  <sheetViews>
    <sheetView workbookViewId="0">
      <selection activeCell="B2" sqref="B2"/>
    </sheetView>
  </sheetViews>
  <sheetFormatPr defaultRowHeight="15" x14ac:dyDescent="0.25"/>
  <cols>
    <col min="1" max="1" width="36.140625" customWidth="1"/>
    <col min="2" max="2" width="17.7109375" style="43" customWidth="1"/>
    <col min="3" max="3" width="21.5703125" style="43" customWidth="1"/>
    <col min="4" max="4" width="35.5703125" customWidth="1"/>
    <col min="5" max="5" width="9.140625" customWidth="1"/>
  </cols>
  <sheetData>
    <row r="1" spans="1:5" x14ac:dyDescent="0.25">
      <c r="A1" s="49" t="s">
        <v>65</v>
      </c>
      <c r="B1" s="44" t="s">
        <v>68</v>
      </c>
      <c r="C1" s="1" t="s">
        <v>113</v>
      </c>
    </row>
    <row r="2" spans="1:5" x14ac:dyDescent="0.25">
      <c r="A2" t="s">
        <v>63</v>
      </c>
      <c r="B2" s="43">
        <v>2500</v>
      </c>
      <c r="C2" s="43">
        <v>1200</v>
      </c>
      <c r="D2" t="s">
        <v>114</v>
      </c>
    </row>
    <row r="3" spans="1:5" x14ac:dyDescent="0.25">
      <c r="A3" t="s">
        <v>69</v>
      </c>
      <c r="D3" t="s">
        <v>115</v>
      </c>
    </row>
    <row r="4" spans="1:5" x14ac:dyDescent="0.25">
      <c r="A4" t="s">
        <v>70</v>
      </c>
    </row>
    <row r="5" spans="1:5" x14ac:dyDescent="0.25">
      <c r="A5" s="56" t="s">
        <v>93</v>
      </c>
      <c r="B5" s="43">
        <v>300</v>
      </c>
      <c r="C5" s="43">
        <v>100</v>
      </c>
      <c r="D5" t="s">
        <v>129</v>
      </c>
    </row>
    <row r="6" spans="1:5" x14ac:dyDescent="0.25">
      <c r="A6" s="56" t="s">
        <v>94</v>
      </c>
      <c r="B6" s="43">
        <v>25</v>
      </c>
      <c r="C6" s="43">
        <v>120</v>
      </c>
      <c r="D6" s="56" t="s">
        <v>130</v>
      </c>
      <c r="E6">
        <v>20</v>
      </c>
    </row>
    <row r="7" spans="1:5" x14ac:dyDescent="0.25">
      <c r="A7" s="56" t="s">
        <v>95</v>
      </c>
      <c r="B7" s="43">
        <v>75</v>
      </c>
      <c r="C7" s="43">
        <v>200</v>
      </c>
      <c r="D7" s="56" t="s">
        <v>131</v>
      </c>
      <c r="E7">
        <v>50</v>
      </c>
    </row>
    <row r="8" spans="1:5" x14ac:dyDescent="0.25">
      <c r="A8" s="56" t="s">
        <v>120</v>
      </c>
      <c r="C8" s="43">
        <v>500</v>
      </c>
      <c r="D8" t="s">
        <v>121</v>
      </c>
    </row>
    <row r="9" spans="1:5" x14ac:dyDescent="0.25">
      <c r="A9" t="s">
        <v>71</v>
      </c>
      <c r="B9" s="43">
        <v>50</v>
      </c>
      <c r="C9" s="43">
        <v>50</v>
      </c>
      <c r="D9" t="s">
        <v>121</v>
      </c>
    </row>
    <row r="10" spans="1:5" x14ac:dyDescent="0.25">
      <c r="A10" t="s">
        <v>72</v>
      </c>
      <c r="B10" s="43">
        <v>150</v>
      </c>
      <c r="C10" s="43">
        <v>200</v>
      </c>
      <c r="D10" t="s">
        <v>124</v>
      </c>
    </row>
    <row r="11" spans="1:5" x14ac:dyDescent="0.25">
      <c r="A11" t="s">
        <v>73</v>
      </c>
      <c r="C11" s="43">
        <v>2500</v>
      </c>
      <c r="D11" t="s">
        <v>122</v>
      </c>
    </row>
    <row r="12" spans="1:5" x14ac:dyDescent="0.25">
      <c r="A12" t="s">
        <v>123</v>
      </c>
      <c r="B12" s="43">
        <v>100</v>
      </c>
      <c r="C12" s="43">
        <v>1200</v>
      </c>
      <c r="D12" t="s">
        <v>122</v>
      </c>
    </row>
    <row r="13" spans="1:5" x14ac:dyDescent="0.25">
      <c r="A13" t="s">
        <v>74</v>
      </c>
      <c r="C13" s="43">
        <v>400</v>
      </c>
      <c r="D13" t="s">
        <v>122</v>
      </c>
    </row>
    <row r="14" spans="1:5" x14ac:dyDescent="0.25">
      <c r="A14" t="s">
        <v>75</v>
      </c>
      <c r="C14" s="43">
        <v>100</v>
      </c>
      <c r="D14" t="s">
        <v>122</v>
      </c>
    </row>
    <row r="15" spans="1:5" x14ac:dyDescent="0.25">
      <c r="A15" t="s">
        <v>76</v>
      </c>
      <c r="B15" s="43">
        <v>150</v>
      </c>
      <c r="C15" s="43">
        <v>50</v>
      </c>
      <c r="D15" t="s">
        <v>121</v>
      </c>
    </row>
    <row r="16" spans="1:5" x14ac:dyDescent="0.25">
      <c r="A16" t="s">
        <v>77</v>
      </c>
      <c r="B16" s="43">
        <v>25</v>
      </c>
      <c r="C16" s="43">
        <v>500</v>
      </c>
    </row>
    <row r="17" spans="1:4" x14ac:dyDescent="0.25">
      <c r="A17" t="s">
        <v>96</v>
      </c>
      <c r="B17" s="43">
        <v>120</v>
      </c>
      <c r="C17" s="43">
        <v>150</v>
      </c>
      <c r="D17" t="s">
        <v>124</v>
      </c>
    </row>
    <row r="18" spans="1:4" x14ac:dyDescent="0.25">
      <c r="A18" t="s">
        <v>78</v>
      </c>
      <c r="B18" s="43">
        <v>1500</v>
      </c>
      <c r="C18" s="43">
        <v>500</v>
      </c>
    </row>
    <row r="19" spans="1:4" x14ac:dyDescent="0.25">
      <c r="B19" s="43">
        <f>SUM(B2:B18)</f>
        <v>4995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Monthly</vt:lpstr>
      <vt:lpstr>Yearly Income Statement</vt:lpstr>
      <vt:lpstr>Salaries</vt:lpstr>
      <vt:lpstr>Yearly Expenses</vt:lpstr>
      <vt:lpstr>Monthly Expenses</vt:lpstr>
      <vt:lpstr>AVERAGE_ENGAGEMENT</vt:lpstr>
      <vt:lpstr>AVERAGE_ENGAGEMENT_HOURS</vt:lpstr>
      <vt:lpstr>AVERAGE_REVENUE_BASE</vt:lpstr>
      <vt:lpstr>AVERAGE_WEEKLY_RATE</vt:lpstr>
      <vt:lpstr>BENEFITS</vt:lpstr>
      <vt:lpstr>BILLABLE_RATE</vt:lpstr>
      <vt:lpstr>CALL_CAPACITY</vt:lpstr>
      <vt:lpstr>CALL_HOURS</vt:lpstr>
      <vt:lpstr>CALLS_PER_WEEK_REP</vt:lpstr>
      <vt:lpstr>CALLS_TO_CLOSE_RATIO</vt:lpstr>
      <vt:lpstr>COMMISSION</vt:lpstr>
      <vt:lpstr>COMPANY_RATE_MULTIPLIER</vt:lpstr>
      <vt:lpstr>CUSTOMER_COUNT_PER_YEAR</vt:lpstr>
      <vt:lpstr>EMPLOYEE_COUNT_OFFSET</vt:lpstr>
      <vt:lpstr>ENGAGEMENT_BILLABLE_HOURS</vt:lpstr>
      <vt:lpstr>GROWTH_RATE</vt:lpstr>
      <vt:lpstr>LEFTMOST_CELL</vt:lpstr>
      <vt:lpstr>MATURITY_CURVE</vt:lpstr>
      <vt:lpstr>MONTHLY_FEE</vt:lpstr>
      <vt:lpstr>ONGOING_PER_CUSTOMER</vt:lpstr>
      <vt:lpstr>PAYROLL_TAX</vt:lpstr>
      <vt:lpstr>RANDOMIZE_LOWER</vt:lpstr>
      <vt:lpstr>RANDOMIZE_UPPER</vt:lpstr>
      <vt:lpstr>RETENTION_RATE</vt:lpstr>
      <vt:lpstr>RIGHTMOST_CELL</vt:lpstr>
      <vt:lpstr>SALARY_OFFSET_CELL</vt:lpstr>
      <vt:lpstr>SALES_BASE_SALARY</vt:lpstr>
      <vt:lpstr>SALES_HOURS_PER_ENGAGEMENT</vt:lpstr>
      <vt:lpstr>SALES_REP_COUNT</vt:lpstr>
    </vt:vector>
  </TitlesOfParts>
  <Company>Western Alliance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Netherland</dc:creator>
  <cp:lastModifiedBy>Ken</cp:lastModifiedBy>
  <dcterms:created xsi:type="dcterms:W3CDTF">2019-10-29T17:19:16Z</dcterms:created>
  <dcterms:modified xsi:type="dcterms:W3CDTF">2020-09-07T19:17:52Z</dcterms:modified>
</cp:coreProperties>
</file>